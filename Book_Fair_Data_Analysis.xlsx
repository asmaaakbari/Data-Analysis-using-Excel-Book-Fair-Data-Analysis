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mc:AlternateContent xmlns:mc="http://schemas.openxmlformats.org/markup-compatibility/2006">
    <mc:Choice Requires="x15">
      <x15ac:absPath xmlns:x15ac="http://schemas.microsoft.com/office/spreadsheetml/2010/11/ac" url="/Users/asmaa/Desktop/"/>
    </mc:Choice>
  </mc:AlternateContent>
  <xr:revisionPtr revIDLastSave="0" documentId="8_{2D028C16-CB56-5741-829D-3153EEAC2F0F}" xr6:coauthVersionLast="47" xr6:coauthVersionMax="47" xr10:uidLastSave="{00000000-0000-0000-0000-000000000000}"/>
  <bookViews>
    <workbookView xWindow="0" yWindow="920" windowWidth="25600" windowHeight="14620" tabRatio="500" activeTab="2" xr2:uid="{00000000-000D-0000-FFFF-FFFF00000000}"/>
  </bookViews>
  <sheets>
    <sheet name="poivet" sheetId="2" r:id="rId1"/>
    <sheet name="KPI" sheetId="4" r:id="rId2"/>
    <sheet name="Dashbord" sheetId="5" r:id="rId3"/>
    <sheet name="معرض الكتاب" sheetId="1" r:id="rId4"/>
  </sheets>
  <definedNames>
    <definedName name="مقسم_طريقة_العرض_التصنيف">#N/A</definedName>
    <definedName name="مقسم_طريقة_العرض_المدينة">#N/A</definedName>
    <definedName name="مقسم_طريقة_العرض_دار_النشر">#N/A</definedName>
  </definedNames>
  <calcPr calcId="191029"/>
  <pivotCaches>
    <pivotCache cacheId="0" r:id="rId5"/>
    <pivotCache cacheId="7"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3" i="5" l="1"/>
  <c r="O3" i="5"/>
  <c r="K3" i="5"/>
  <c r="G3" i="5"/>
  <c r="G12" i="4"/>
  <c r="D12" i="4"/>
  <c r="K3" i="4"/>
  <c r="G3" i="4"/>
  <c r="D3" i="4"/>
  <c r="F27" i="1"/>
  <c r="F28" i="1"/>
  <c r="F26" i="1"/>
  <c r="C32" i="1"/>
  <c r="C27" i="1"/>
  <c r="C25" i="1"/>
  <c r="I5" i="1"/>
  <c r="I6" i="1"/>
  <c r="I7" i="1"/>
  <c r="I8" i="1"/>
  <c r="I9" i="1"/>
  <c r="I10" i="1"/>
  <c r="I11" i="1"/>
  <c r="I12" i="1"/>
  <c r="I13" i="1"/>
  <c r="I14" i="1"/>
  <c r="I15" i="1"/>
  <c r="I16" i="1"/>
  <c r="I17" i="1"/>
  <c r="I18" i="1"/>
  <c r="I19" i="1"/>
  <c r="I20" i="1"/>
  <c r="I21" i="1"/>
  <c r="I22" i="1"/>
  <c r="I4" i="1"/>
</calcChain>
</file>

<file path=xl/sharedStrings.xml><?xml version="1.0" encoding="utf-8"?>
<sst xmlns="http://schemas.openxmlformats.org/spreadsheetml/2006/main" count="179" uniqueCount="50">
  <si>
    <t>التاريخ</t>
  </si>
  <si>
    <t>الجناح</t>
  </si>
  <si>
    <t>دار النشر</t>
  </si>
  <si>
    <t>التصنيف</t>
  </si>
  <si>
    <t>عدد الكتب المباعة</t>
  </si>
  <si>
    <t>الإيرادات</t>
  </si>
  <si>
    <t>عدد الزوار</t>
  </si>
  <si>
    <t>المدينة</t>
  </si>
  <si>
    <t>01-Jan</t>
  </si>
  <si>
    <t>A1</t>
  </si>
  <si>
    <t>المعرفة</t>
  </si>
  <si>
    <t>أدب</t>
  </si>
  <si>
    <t>الرياض</t>
  </si>
  <si>
    <t>A2</t>
  </si>
  <si>
    <t>الفكر</t>
  </si>
  <si>
    <t>تاريخ</t>
  </si>
  <si>
    <t>جدة</t>
  </si>
  <si>
    <t>A3</t>
  </si>
  <si>
    <t>الإبداع</t>
  </si>
  <si>
    <t>أطفال</t>
  </si>
  <si>
    <t>الدمام</t>
  </si>
  <si>
    <t>02-Jan</t>
  </si>
  <si>
    <t>03-Jan</t>
  </si>
  <si>
    <t>04-Jan</t>
  </si>
  <si>
    <t>05-Jan</t>
  </si>
  <si>
    <t>06-Jan</t>
  </si>
  <si>
    <t>07-Jan</t>
  </si>
  <si>
    <t>تصنيف النجاح</t>
  </si>
  <si>
    <t>عدد الأيام التي تجاوزت فيها المبيعات ١٥٠ كتابًا ف تصنيف الأطفال</t>
  </si>
  <si>
    <t xml:space="preserve">إجمالي الإيرادات لتصنيف الأدب </t>
  </si>
  <si>
    <t>الإجمالي الكلي</t>
  </si>
  <si>
    <t>مجموع الإيرادات</t>
  </si>
  <si>
    <t>الابداع</t>
  </si>
  <si>
    <t>مجموع الإيرادات لكل دار نشر</t>
  </si>
  <si>
    <t>إجمالي الإيرادات</t>
  </si>
  <si>
    <t xml:space="preserve"> عدد الكتب المباعة</t>
  </si>
  <si>
    <t>اجمالي الزوار حسب المدينة</t>
  </si>
  <si>
    <t>إجمالي الزوار</t>
  </si>
  <si>
    <t>إجمالي الكتب المباعة</t>
  </si>
  <si>
    <t>المخططات</t>
  </si>
  <si>
    <t>&lt;-------</t>
  </si>
  <si>
    <t>عدد دور النشر المشاركة</t>
  </si>
  <si>
    <t>اجمالي الإيرادات</t>
  </si>
  <si>
    <t>متوسط الزوار اليومي</t>
  </si>
  <si>
    <t>افضل دار نشر</t>
  </si>
  <si>
    <t>اعلى تصنيف مبيعًا</t>
  </si>
  <si>
    <t>KPI</t>
  </si>
  <si>
    <t>&lt;----------</t>
  </si>
  <si>
    <t>أيام المعرض</t>
  </si>
  <si>
    <t>تطور عدد الزوار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</si>
</sst>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8"/>
      <color rgb="FFFFFFFF"/>
      <name val="Arial"/>
      <family val="2"/>
    </font>
    <font>
      <sz val="18"/>
      <name val="Arial"/>
      <family val="2"/>
    </font>
    <font>
      <sz val="12"/>
      <color theme="1"/>
      <name val="Calibri"/>
      <family val="2"/>
      <charset val="1"/>
    </font>
    <font>
      <sz val="16"/>
      <color theme="1"/>
      <name val="Calibri"/>
      <family val="2"/>
      <charset val="1"/>
    </font>
    <font>
      <sz val="18"/>
      <color theme="1"/>
      <name val="Calibri"/>
      <family val="2"/>
      <charset val="1"/>
    </font>
    <font>
      <sz val="20"/>
      <color theme="1"/>
      <name val="Calibri"/>
      <family val="2"/>
      <charset val="1"/>
    </font>
    <font>
      <sz val="14"/>
      <color theme="1"/>
      <name val="Calibri"/>
      <family val="2"/>
      <charset val="1"/>
    </font>
    <font>
      <sz val="24"/>
      <color theme="1"/>
      <name val="Calibri"/>
      <family val="2"/>
      <charset val="1"/>
    </font>
    <font>
      <sz val="26"/>
      <color theme="1"/>
      <name val="Calibri"/>
      <family val="2"/>
      <charset val="1"/>
    </font>
    <font>
      <sz val="28"/>
      <color theme="1"/>
      <name val="Calibri"/>
      <family val="2"/>
      <charset val="1"/>
    </font>
  </fonts>
  <fills count="15">
    <fill>
      <patternFill patternType="none"/>
    </fill>
    <fill>
      <patternFill patternType="gray125"/>
    </fill>
    <fill>
      <patternFill patternType="solid">
        <fgColor rgb="FF2F5597"/>
        <bgColor rgb="FF666699"/>
      </patternFill>
    </fill>
    <fill>
      <patternFill patternType="solid">
        <fgColor them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7F3FF"/>
        <bgColor indexed="64"/>
      </patternFill>
    </fill>
    <fill>
      <patternFill patternType="solid">
        <fgColor theme="7" tint="0.59999389629810485"/>
        <bgColor indexed="64"/>
      </patternFill>
    </fill>
    <fill>
      <patternFill patternType="solid">
        <fgColor rgb="FFF8FFFF"/>
        <bgColor indexed="64"/>
      </patternFill>
    </fill>
    <fill>
      <patternFill patternType="solid">
        <fgColor theme="0"/>
        <bgColor indexed="64"/>
      </patternFill>
    </fill>
    <fill>
      <patternFill patternType="solid">
        <fgColor theme="4" tint="0.59999389629810485"/>
        <bgColor indexed="64"/>
      </patternFill>
    </fill>
    <fill>
      <patternFill patternType="solid">
        <fgColor rgb="FFFFF7EC"/>
        <bgColor indexed="64"/>
      </patternFill>
    </fill>
    <fill>
      <patternFill patternType="solid">
        <fgColor rgb="FFECF5FF"/>
        <bgColor indexed="64"/>
      </patternFill>
    </fill>
    <fill>
      <patternFill patternType="solid">
        <fgColor theme="5" tint="0.79998168889431442"/>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1"/>
      </top>
      <bottom/>
      <diagonal/>
    </border>
    <border>
      <left/>
      <right/>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1" fillId="2" borderId="2" xfId="0" applyFont="1" applyFill="1" applyBorder="1" applyAlignment="1">
      <alignment horizontal="center" vertical="center"/>
    </xf>
    <xf numFmtId="0" fontId="4" fillId="5" borderId="3" xfId="0" applyFont="1" applyFill="1" applyBorder="1" applyAlignment="1">
      <alignment horizontal="center"/>
    </xf>
    <xf numFmtId="0" fontId="6" fillId="4" borderId="3" xfId="0" applyFont="1" applyFill="1" applyBorder="1" applyAlignment="1">
      <alignment horizontal="center"/>
    </xf>
    <xf numFmtId="0" fontId="4" fillId="5" borderId="3" xfId="0" applyFont="1" applyFill="1" applyBorder="1"/>
    <xf numFmtId="0" fontId="4" fillId="3" borderId="3" xfId="0" applyFont="1" applyFill="1" applyBorder="1"/>
    <xf numFmtId="0" fontId="7" fillId="7" borderId="4" xfId="0" applyFont="1" applyFill="1" applyBorder="1" applyAlignment="1">
      <alignment horizontal="center"/>
    </xf>
    <xf numFmtId="0" fontId="4" fillId="8" borderId="4" xfId="0" applyFont="1" applyFill="1" applyBorder="1" applyAlignment="1">
      <alignment horizontal="center"/>
    </xf>
    <xf numFmtId="0" fontId="4" fillId="7" borderId="4" xfId="0" applyFont="1" applyFill="1" applyBorder="1" applyAlignment="1">
      <alignment horizontal="center"/>
    </xf>
    <xf numFmtId="0" fontId="4" fillId="8" borderId="4" xfId="0" applyFont="1" applyFill="1" applyBorder="1" applyAlignment="1">
      <alignment horizontal="center" vertical="center"/>
    </xf>
    <xf numFmtId="0" fontId="4" fillId="7" borderId="4" xfId="0" applyFont="1" applyFill="1" applyBorder="1" applyAlignment="1">
      <alignment horizontal="center" vertical="center"/>
    </xf>
    <xf numFmtId="0" fontId="10" fillId="11" borderId="4" xfId="0" applyFont="1" applyFill="1" applyBorder="1" applyAlignment="1">
      <alignment horizontal="center"/>
    </xf>
    <xf numFmtId="0" fontId="10" fillId="7" borderId="4" xfId="0" applyFont="1" applyFill="1" applyBorder="1" applyAlignment="1">
      <alignment horizontal="center" vertical="center"/>
    </xf>
    <xf numFmtId="0" fontId="7" fillId="9" borderId="4" xfId="0" applyFont="1" applyFill="1" applyBorder="1" applyAlignment="1">
      <alignment horizontal="center" vertical="center"/>
    </xf>
    <xf numFmtId="0" fontId="5" fillId="10" borderId="7" xfId="0" applyFont="1" applyFill="1" applyBorder="1" applyAlignment="1">
      <alignment horizontal="center" vertical="center"/>
    </xf>
    <xf numFmtId="0" fontId="5" fillId="10" borderId="8" xfId="0" applyFont="1" applyFill="1" applyBorder="1" applyAlignment="1">
      <alignment horizontal="center" vertical="center"/>
    </xf>
    <xf numFmtId="0" fontId="5" fillId="10" borderId="9" xfId="0" applyFont="1" applyFill="1" applyBorder="1" applyAlignment="1">
      <alignment horizontal="center" vertical="center"/>
    </xf>
    <xf numFmtId="0" fontId="10" fillId="11" borderId="10" xfId="0" applyFont="1" applyFill="1" applyBorder="1" applyAlignment="1">
      <alignment horizontal="center" vertical="center"/>
    </xf>
    <xf numFmtId="0" fontId="10" fillId="11" borderId="4" xfId="0" applyFont="1" applyFill="1" applyBorder="1" applyAlignment="1">
      <alignment horizontal="center" vertical="center"/>
    </xf>
    <xf numFmtId="0" fontId="10" fillId="0" borderId="10" xfId="0" applyFont="1" applyBorder="1" applyAlignment="1">
      <alignment horizontal="center" vertical="center"/>
    </xf>
    <xf numFmtId="0" fontId="10" fillId="0" borderId="4" xfId="0" applyFont="1" applyBorder="1" applyAlignment="1">
      <alignment horizontal="center" vertical="center"/>
    </xf>
    <xf numFmtId="0" fontId="4" fillId="0" borderId="4" xfId="0" applyFont="1" applyBorder="1" applyAlignment="1">
      <alignment horizontal="center" vertical="center"/>
    </xf>
    <xf numFmtId="0" fontId="10" fillId="11" borderId="10" xfId="0" applyFont="1" applyFill="1" applyBorder="1" applyAlignment="1">
      <alignment horizontal="center"/>
    </xf>
    <xf numFmtId="2" fontId="10" fillId="0" borderId="4" xfId="0" applyNumberFormat="1" applyFont="1" applyBorder="1" applyAlignment="1">
      <alignment horizontal="center" vertic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3" fillId="3" borderId="3" xfId="0" applyFont="1" applyFill="1" applyBorder="1" applyAlignment="1">
      <alignment horizontal="center" vertical="center"/>
    </xf>
    <xf numFmtId="0" fontId="5" fillId="5" borderId="3" xfId="0" applyFont="1" applyFill="1" applyBorder="1" applyAlignment="1">
      <alignment horizontal="center" vertical="center"/>
    </xf>
    <xf numFmtId="0" fontId="4" fillId="3" borderId="3" xfId="0" applyFont="1" applyFill="1" applyBorder="1" applyAlignment="1">
      <alignment horizontal="center" vertical="center"/>
    </xf>
    <xf numFmtId="0" fontId="4" fillId="5" borderId="3" xfId="0" applyFont="1" applyFill="1" applyBorder="1" applyAlignment="1">
      <alignment horizontal="center" vertical="center"/>
    </xf>
    <xf numFmtId="0" fontId="4" fillId="6" borderId="3" xfId="0" applyFont="1" applyFill="1" applyBorder="1" applyAlignment="1">
      <alignment horizontal="center"/>
    </xf>
    <xf numFmtId="0" fontId="4" fillId="8" borderId="4" xfId="0" applyFont="1" applyFill="1" applyBorder="1"/>
    <xf numFmtId="0" fontId="4" fillId="7" borderId="4" xfId="0" applyFont="1" applyFill="1" applyBorder="1" applyAlignment="1">
      <alignment horizontal="right"/>
    </xf>
    <xf numFmtId="0" fontId="4" fillId="7" borderId="4" xfId="0" applyNumberFormat="1" applyFont="1" applyFill="1" applyBorder="1"/>
    <xf numFmtId="0" fontId="4" fillId="8" borderId="4" xfId="0" applyNumberFormat="1" applyFont="1" applyFill="1" applyBorder="1"/>
    <xf numFmtId="0" fontId="4" fillId="7" borderId="4" xfId="0" applyNumberFormat="1" applyFont="1" applyFill="1" applyBorder="1" applyAlignment="1">
      <alignment horizontal="center" vertical="center"/>
    </xf>
    <xf numFmtId="0" fontId="4" fillId="8" borderId="4" xfId="0" applyNumberFormat="1" applyFont="1" applyFill="1" applyBorder="1" applyAlignment="1">
      <alignment horizontal="center" vertical="center"/>
    </xf>
    <xf numFmtId="0" fontId="7" fillId="8" borderId="4" xfId="0" applyFont="1" applyFill="1" applyBorder="1" applyAlignment="1">
      <alignment horizontal="center"/>
    </xf>
    <xf numFmtId="0" fontId="4" fillId="7" borderId="4" xfId="0" applyNumberFormat="1" applyFont="1" applyFill="1" applyBorder="1" applyAlignment="1">
      <alignment horizontal="center"/>
    </xf>
    <xf numFmtId="0" fontId="4" fillId="8" borderId="4" xfId="0" applyNumberFormat="1" applyFont="1" applyFill="1" applyBorder="1" applyAlignment="1">
      <alignment horizontal="center"/>
    </xf>
    <xf numFmtId="0" fontId="0" fillId="12" borderId="0" xfId="0" applyFill="1"/>
    <xf numFmtId="0" fontId="10" fillId="13" borderId="4" xfId="0" applyFont="1" applyFill="1" applyBorder="1" applyAlignment="1">
      <alignment horizontal="center" vertical="center"/>
    </xf>
    <xf numFmtId="0" fontId="9" fillId="13" borderId="4" xfId="0" applyFont="1" applyFill="1" applyBorder="1" applyAlignment="1">
      <alignment horizontal="center" vertical="center"/>
    </xf>
    <xf numFmtId="0" fontId="8" fillId="13" borderId="4" xfId="0" applyFont="1" applyFill="1" applyBorder="1" applyAlignment="1">
      <alignment horizontal="center" vertical="center"/>
    </xf>
    <xf numFmtId="0" fontId="10" fillId="14" borderId="4" xfId="0" applyFont="1" applyFill="1" applyBorder="1" applyAlignment="1">
      <alignment horizontal="center"/>
    </xf>
    <xf numFmtId="0" fontId="9" fillId="14" borderId="4" xfId="0" applyFont="1" applyFill="1" applyBorder="1" applyAlignment="1">
      <alignment horizontal="center"/>
    </xf>
    <xf numFmtId="0" fontId="8" fillId="14" borderId="4" xfId="0" applyFont="1" applyFill="1" applyBorder="1" applyAlignment="1">
      <alignment horizontal="center" vertical="center"/>
    </xf>
  </cellXfs>
  <cellStyles count="1">
    <cellStyle name="عادي" xfId="0" builtinId="0"/>
  </cellStyles>
  <dxfs count="1651">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ill>
        <patternFill>
          <bgColor rgb="FFF7F3FF"/>
        </patternFill>
      </fill>
    </dxf>
    <dxf>
      <fill>
        <patternFill>
          <bgColor rgb="FFF7F3FF"/>
        </patternFill>
      </fill>
    </dxf>
    <dxf>
      <fill>
        <patternFill>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bgColor theme="7" tint="0.59999389629810485"/>
        </patternFill>
      </fill>
    </dxf>
    <dxf>
      <fill>
        <patternFill>
          <bgColor theme="7" tint="0.59999389629810485"/>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ill>
        <patternFill>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F7F3FF"/>
        </patternFill>
      </fill>
    </dxf>
    <dxf>
      <fill>
        <patternFill>
          <bgColor rgb="FFF7F3FF"/>
        </patternFill>
      </fill>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fill>
        <patternFill>
          <bgColor rgb="FFF7F3FF"/>
        </patternFill>
      </fill>
    </dxf>
    <dxf>
      <fill>
        <patternFill patternType="solid">
          <bgColor rgb="FFF7F3FF"/>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dxf>
    <dxf>
      <alignment horizontal="center"/>
    </dxf>
    <dxf>
      <alignment horizontal="center"/>
    </dxf>
    <dxf>
      <alignment horizontal="center"/>
    </dxf>
    <dxf>
      <alignment horizontal="center"/>
    </dxf>
    <dxf>
      <alignment horizontal="center"/>
    </dxf>
    <dxf>
      <fill>
        <patternFill>
          <bgColor theme="7" tint="0.59999389629810485"/>
        </patternFill>
      </fill>
    </dxf>
    <dxf>
      <font>
        <sz val="16"/>
      </font>
    </dxf>
    <dxf>
      <font>
        <sz val="16"/>
      </font>
    </dxf>
    <dxf>
      <font>
        <sz val="16"/>
      </font>
    </dxf>
    <dxf>
      <font>
        <sz val="16"/>
      </font>
    </dxf>
    <dxf>
      <font>
        <sz val="16"/>
      </font>
    </dxf>
    <dxf>
      <font>
        <sz val="16"/>
      </font>
    </dxf>
    <dxf>
      <fill>
        <patternFill>
          <bgColor theme="7" tint="0.59999389629810485"/>
        </patternFill>
      </fill>
    </dxf>
    <dxf>
      <fill>
        <patternFill>
          <bgColor theme="7" tint="0.59999389629810485"/>
        </patternFill>
      </fill>
    </dxf>
    <dxf>
      <fill>
        <patternFill>
          <bgColor rgb="FFF7F3FF"/>
        </patternFill>
      </fill>
    </dxf>
    <dxf>
      <fill>
        <patternFill>
          <bgColor rgb="FFF7F3FF"/>
        </patternFill>
      </fill>
    </dxf>
    <dxf>
      <fill>
        <patternFill>
          <bgColor rgb="FFF7F3FF"/>
        </patternFill>
      </fill>
    </dxf>
    <dxf>
      <fill>
        <patternFill>
          <bgColor rgb="FFF7F3FF"/>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7F3FF"/>
        </patternFill>
      </fill>
    </dxf>
    <dxf>
      <fill>
        <patternFill>
          <bgColor rgb="FFF7F3FF"/>
        </patternFill>
      </fill>
    </dxf>
    <dxf>
      <fill>
        <patternFill>
          <bgColor rgb="FFF7F3FF"/>
        </patternFill>
      </fill>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fill>
        <patternFill>
          <bgColor theme="7" tint="0.59999389629810485"/>
        </patternFill>
      </fill>
    </dxf>
    <dxf>
      <fill>
        <patternFill>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fill>
        <patternFill>
          <bgColor theme="7" tint="0.59999389629810485"/>
        </patternFill>
      </fill>
    </dxf>
    <dxf>
      <fill>
        <patternFill>
          <bgColor theme="7" tint="0.59999389629810485"/>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
      <fill>
        <patternFill patternType="solid">
          <bgColor rgb="FFF7F3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mruColors>
      <color rgb="FFECF5FF"/>
      <color rgb="FFFFF7EC"/>
      <color rgb="FFFFFEF7"/>
      <color rgb="FFFFF9E5"/>
      <color rgb="FFF6ECD9"/>
      <color rgb="FFFAFFF7"/>
      <color rgb="FFF7F3FF"/>
      <color rgb="FFF8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بيانات معرض الكتاب- اكسل.xlsx]poivet!PivotTable1</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ar-SA" sz="1800"/>
              <a:t>المبيعات حسب التصنيف</a:t>
            </a:r>
          </a:p>
        </c:rich>
      </c:tx>
      <c:layout>
        <c:manualLayout>
          <c:xMode val="edge"/>
          <c:yMode val="edge"/>
          <c:x val="0.26907012795275592"/>
          <c:y val="2.790697674418604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SA"/>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poivet!$D$3</c:f>
              <c:strCache>
                <c:ptCount val="1"/>
                <c:pt idx="0">
                  <c:v>الإجمالي</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SA"/>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poivet!$C$4:$C$7</c:f>
              <c:strCache>
                <c:ptCount val="3"/>
                <c:pt idx="0">
                  <c:v>أدب</c:v>
                </c:pt>
                <c:pt idx="1">
                  <c:v>أطفال</c:v>
                </c:pt>
                <c:pt idx="2">
                  <c:v>تاريخ</c:v>
                </c:pt>
              </c:strCache>
            </c:strRef>
          </c:cat>
          <c:val>
            <c:numRef>
              <c:f>poivet!$D$4:$D$7</c:f>
              <c:numCache>
                <c:formatCode>General</c:formatCode>
                <c:ptCount val="3"/>
                <c:pt idx="0">
                  <c:v>1100</c:v>
                </c:pt>
                <c:pt idx="1">
                  <c:v>1370</c:v>
                </c:pt>
                <c:pt idx="2">
                  <c:v>790</c:v>
                </c:pt>
              </c:numCache>
            </c:numRef>
          </c:val>
          <c:extLst>
            <c:ext xmlns:c16="http://schemas.microsoft.com/office/drawing/2014/chart" uri="{C3380CC4-5D6E-409C-BE32-E72D297353CC}">
              <c16:uniqueId val="{00000000-E06C-7046-8FDE-E151F0DD8FC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4"/>
    </mc:Choice>
    <mc:Fallback>
      <c:style val="4"/>
    </mc:Fallback>
  </mc:AlternateContent>
  <c:pivotSource>
    <c:name>[تحليل بيانات معرض الكتاب- اكسل.xlsx]poivet!PivotTable7</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ar-SA" sz="1800"/>
              <a:t>الإيرادات حسب دار النشر</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poivet!$G$3</c:f>
              <c:strCache>
                <c:ptCount val="1"/>
                <c:pt idx="0">
                  <c:v>الإجمالي</c:v>
                </c:pt>
              </c:strCache>
            </c:strRef>
          </c:tx>
          <c:spPr>
            <a:solidFill>
              <a:schemeClr val="accent2"/>
            </a:solidFill>
            <a:ln>
              <a:noFill/>
            </a:ln>
            <a:effectLst/>
          </c:spPr>
          <c:invertIfNegative val="0"/>
          <c:cat>
            <c:strRef>
              <c:f>poivet!$F$4:$F$7</c:f>
              <c:strCache>
                <c:ptCount val="3"/>
                <c:pt idx="0">
                  <c:v>الابداع</c:v>
                </c:pt>
                <c:pt idx="1">
                  <c:v>الفكر</c:v>
                </c:pt>
                <c:pt idx="2">
                  <c:v>المعرفة</c:v>
                </c:pt>
              </c:strCache>
            </c:strRef>
          </c:cat>
          <c:val>
            <c:numRef>
              <c:f>poivet!$G$4:$G$7</c:f>
              <c:numCache>
                <c:formatCode>General</c:formatCode>
                <c:ptCount val="3"/>
                <c:pt idx="0">
                  <c:v>41100</c:v>
                </c:pt>
                <c:pt idx="1">
                  <c:v>23700</c:v>
                </c:pt>
                <c:pt idx="2">
                  <c:v>33000</c:v>
                </c:pt>
              </c:numCache>
            </c:numRef>
          </c:val>
          <c:extLst>
            <c:ext xmlns:c16="http://schemas.microsoft.com/office/drawing/2014/chart" uri="{C3380CC4-5D6E-409C-BE32-E72D297353CC}">
              <c16:uniqueId val="{00000000-5526-2449-8E04-408D9110329C}"/>
            </c:ext>
          </c:extLst>
        </c:ser>
        <c:dLbls>
          <c:showLegendKey val="0"/>
          <c:showVal val="0"/>
          <c:showCatName val="0"/>
          <c:showSerName val="0"/>
          <c:showPercent val="0"/>
          <c:showBubbleSize val="0"/>
        </c:dLbls>
        <c:gapWidth val="182"/>
        <c:axId val="395674592"/>
        <c:axId val="395836416"/>
      </c:barChart>
      <c:catAx>
        <c:axId val="395674592"/>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395836416"/>
        <c:crosses val="autoZero"/>
        <c:auto val="1"/>
        <c:lblAlgn val="ctr"/>
        <c:lblOffset val="100"/>
        <c:noMultiLvlLbl val="0"/>
      </c:catAx>
      <c:valAx>
        <c:axId val="39583641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ar-SA"/>
          </a:p>
        </c:txPr>
        <c:crossAx val="39567459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EF7"/>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7"/>
    </mc:Choice>
    <mc:Fallback>
      <c:style val="7"/>
    </mc:Fallback>
  </mc:AlternateContent>
  <c:pivotSource>
    <c:name>[تحليل بيانات معرض الكتاب- اكسل.xlsx]poivet!PivotTable4</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ar-SA" sz="2000"/>
              <a:t>تطور الزوار</a:t>
            </a:r>
            <a:r>
              <a:rPr lang="ar-SA" sz="2000" baseline="0"/>
              <a:t> خلال أيام المعرض</a:t>
            </a:r>
            <a:endParaRPr lang="ar-SA"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poivet!$P$3</c:f>
              <c:strCache>
                <c:ptCount val="1"/>
                <c:pt idx="0">
                  <c:v>الإجمالي</c:v>
                </c:pt>
              </c:strCache>
            </c:strRef>
          </c:tx>
          <c:spPr>
            <a:ln w="28575" cap="rnd">
              <a:solidFill>
                <a:schemeClr val="accent5"/>
              </a:solidFill>
              <a:round/>
            </a:ln>
            <a:effectLst/>
          </c:spPr>
          <c:marker>
            <c:symbol val="none"/>
          </c:marker>
          <c:cat>
            <c:strRef>
              <c:f>poivet!$O$4:$O$11</c:f>
              <c:strCache>
                <c:ptCount val="7"/>
                <c:pt idx="0">
                  <c:v>01-Jan</c:v>
                </c:pt>
                <c:pt idx="1">
                  <c:v>02-Jan</c:v>
                </c:pt>
                <c:pt idx="2">
                  <c:v>03-Jan</c:v>
                </c:pt>
                <c:pt idx="3">
                  <c:v>04-Jan</c:v>
                </c:pt>
                <c:pt idx="4">
                  <c:v>05-Jan</c:v>
                </c:pt>
                <c:pt idx="5">
                  <c:v>06-Jan</c:v>
                </c:pt>
                <c:pt idx="6">
                  <c:v>07-Jan</c:v>
                </c:pt>
              </c:strCache>
            </c:strRef>
          </c:cat>
          <c:val>
            <c:numRef>
              <c:f>poivet!$P$4:$P$11</c:f>
              <c:numCache>
                <c:formatCode>General</c:formatCode>
                <c:ptCount val="7"/>
                <c:pt idx="0">
                  <c:v>1270</c:v>
                </c:pt>
                <c:pt idx="1">
                  <c:v>1380</c:v>
                </c:pt>
                <c:pt idx="2">
                  <c:v>1520</c:v>
                </c:pt>
                <c:pt idx="3">
                  <c:v>1470</c:v>
                </c:pt>
                <c:pt idx="4">
                  <c:v>1640</c:v>
                </c:pt>
                <c:pt idx="5">
                  <c:v>1760</c:v>
                </c:pt>
                <c:pt idx="6">
                  <c:v>1900</c:v>
                </c:pt>
              </c:numCache>
            </c:numRef>
          </c:val>
          <c:smooth val="0"/>
          <c:extLst>
            <c:ext xmlns:c16="http://schemas.microsoft.com/office/drawing/2014/chart" uri="{C3380CC4-5D6E-409C-BE32-E72D297353CC}">
              <c16:uniqueId val="{00000000-4473-8843-92B2-614651049F77}"/>
            </c:ext>
          </c:extLst>
        </c:ser>
        <c:dLbls>
          <c:showLegendKey val="0"/>
          <c:showVal val="0"/>
          <c:showCatName val="0"/>
          <c:showSerName val="0"/>
          <c:showPercent val="0"/>
          <c:showBubbleSize val="0"/>
        </c:dLbls>
        <c:smooth val="0"/>
        <c:axId val="376937888"/>
        <c:axId val="376939616"/>
      </c:lineChart>
      <c:catAx>
        <c:axId val="37693788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ar-SA"/>
          </a:p>
        </c:txPr>
        <c:crossAx val="376939616"/>
        <c:crosses val="autoZero"/>
        <c:auto val="1"/>
        <c:lblAlgn val="ctr"/>
        <c:lblOffset val="100"/>
        <c:noMultiLvlLbl val="0"/>
      </c:catAx>
      <c:valAx>
        <c:axId val="37693961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ar-SA"/>
          </a:p>
        </c:txPr>
        <c:crossAx val="37693788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FF7"/>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4"/>
    </mc:Choice>
    <mc:Fallback>
      <c:style val="4"/>
    </mc:Fallback>
  </mc:AlternateContent>
  <c:pivotSource>
    <c:name>[تحليل بيانات معرض الكتاب- اكسل.xlsx]poivet!PivotTable6</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ar-SA" sz="2000"/>
              <a:t>مقارنة الأجنحة</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poivet!$D$10</c:f>
              <c:strCache>
                <c:ptCount val="1"/>
                <c:pt idx="0">
                  <c:v>الإجمالي</c:v>
                </c:pt>
              </c:strCache>
            </c:strRef>
          </c:tx>
          <c:spPr>
            <a:solidFill>
              <a:schemeClr val="accent2"/>
            </a:solidFill>
            <a:ln>
              <a:noFill/>
            </a:ln>
            <a:effectLst/>
          </c:spPr>
          <c:invertIfNegative val="0"/>
          <c:cat>
            <c:strRef>
              <c:f>poivet!$C$11:$C$14</c:f>
              <c:strCache>
                <c:ptCount val="3"/>
                <c:pt idx="0">
                  <c:v>A1</c:v>
                </c:pt>
                <c:pt idx="1">
                  <c:v>A2</c:v>
                </c:pt>
                <c:pt idx="2">
                  <c:v>A3</c:v>
                </c:pt>
              </c:strCache>
            </c:strRef>
          </c:cat>
          <c:val>
            <c:numRef>
              <c:f>poivet!$D$11:$D$14</c:f>
              <c:numCache>
                <c:formatCode>General</c:formatCode>
                <c:ptCount val="3"/>
                <c:pt idx="0">
                  <c:v>33000</c:v>
                </c:pt>
                <c:pt idx="1">
                  <c:v>23700</c:v>
                </c:pt>
                <c:pt idx="2">
                  <c:v>41100</c:v>
                </c:pt>
              </c:numCache>
            </c:numRef>
          </c:val>
          <c:extLst>
            <c:ext xmlns:c16="http://schemas.microsoft.com/office/drawing/2014/chart" uri="{C3380CC4-5D6E-409C-BE32-E72D297353CC}">
              <c16:uniqueId val="{00000000-22AE-6942-8378-71680AC14BFF}"/>
            </c:ext>
          </c:extLst>
        </c:ser>
        <c:dLbls>
          <c:showLegendKey val="0"/>
          <c:showVal val="0"/>
          <c:showCatName val="0"/>
          <c:showSerName val="0"/>
          <c:showPercent val="0"/>
          <c:showBubbleSize val="0"/>
        </c:dLbls>
        <c:gapWidth val="219"/>
        <c:overlap val="-27"/>
        <c:axId val="396245648"/>
        <c:axId val="396236384"/>
      </c:barChart>
      <c:catAx>
        <c:axId val="39624564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ar-SA"/>
          </a:p>
        </c:txPr>
        <c:crossAx val="396236384"/>
        <c:crosses val="autoZero"/>
        <c:auto val="1"/>
        <c:lblAlgn val="ctr"/>
        <c:lblOffset val="100"/>
        <c:noMultiLvlLbl val="0"/>
      </c:catAx>
      <c:valAx>
        <c:axId val="39623638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crossAx val="39624564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FFF"/>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11</xdr:row>
      <xdr:rowOff>0</xdr:rowOff>
    </xdr:from>
    <xdr:to>
      <xdr:col>7</xdr:col>
      <xdr:colOff>762000</xdr:colOff>
      <xdr:row>25</xdr:row>
      <xdr:rowOff>63500</xdr:rowOff>
    </xdr:to>
    <xdr:graphicFrame macro="">
      <xdr:nvGraphicFramePr>
        <xdr:cNvPr id="2" name="مخطط 1">
          <a:extLst>
            <a:ext uri="{FF2B5EF4-FFF2-40B4-BE49-F238E27FC236}">
              <a16:creationId xmlns:a16="http://schemas.microsoft.com/office/drawing/2014/main" id="{E874EA85-D5CF-8349-8D49-1BC2275EF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139700</xdr:colOff>
      <xdr:row>11</xdr:row>
      <xdr:rowOff>38100</xdr:rowOff>
    </xdr:from>
    <xdr:to>
      <xdr:col>11</xdr:col>
      <xdr:colOff>1041400</xdr:colOff>
      <xdr:row>25</xdr:row>
      <xdr:rowOff>114300</xdr:rowOff>
    </xdr:to>
    <xdr:graphicFrame macro="">
      <xdr:nvGraphicFramePr>
        <xdr:cNvPr id="3" name="مخطط 2">
          <a:extLst>
            <a:ext uri="{FF2B5EF4-FFF2-40B4-BE49-F238E27FC236}">
              <a16:creationId xmlns:a16="http://schemas.microsoft.com/office/drawing/2014/main" id="{8431110C-CF94-3445-B22C-D6E494D61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11</xdr:row>
      <xdr:rowOff>0</xdr:rowOff>
    </xdr:from>
    <xdr:to>
      <xdr:col>17</xdr:col>
      <xdr:colOff>444500</xdr:colOff>
      <xdr:row>25</xdr:row>
      <xdr:rowOff>76200</xdr:rowOff>
    </xdr:to>
    <xdr:graphicFrame macro="">
      <xdr:nvGraphicFramePr>
        <xdr:cNvPr id="4" name="مخطط 3">
          <a:extLst>
            <a:ext uri="{FF2B5EF4-FFF2-40B4-BE49-F238E27FC236}">
              <a16:creationId xmlns:a16="http://schemas.microsoft.com/office/drawing/2014/main" id="{0943D62A-1BA0-5244-A5FB-211248DFC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11</xdr:row>
      <xdr:rowOff>0</xdr:rowOff>
    </xdr:from>
    <xdr:to>
      <xdr:col>23</xdr:col>
      <xdr:colOff>411655</xdr:colOff>
      <xdr:row>24</xdr:row>
      <xdr:rowOff>181303</xdr:rowOff>
    </xdr:to>
    <xdr:graphicFrame macro="">
      <xdr:nvGraphicFramePr>
        <xdr:cNvPr id="5" name="مخطط 4">
          <a:extLst>
            <a:ext uri="{FF2B5EF4-FFF2-40B4-BE49-F238E27FC236}">
              <a16:creationId xmlns:a16="http://schemas.microsoft.com/office/drawing/2014/main" id="{FCC4EBC9-35F9-9A47-A12B-F02995B0E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21145</xdr:colOff>
      <xdr:row>26</xdr:row>
      <xdr:rowOff>92028</xdr:rowOff>
    </xdr:from>
    <xdr:to>
      <xdr:col>21</xdr:col>
      <xdr:colOff>444434</xdr:colOff>
      <xdr:row>31</xdr:row>
      <xdr:rowOff>177578</xdr:rowOff>
    </xdr:to>
    <mc:AlternateContent xmlns:mc="http://schemas.openxmlformats.org/markup-compatibility/2006">
      <mc:Choice xmlns:a14="http://schemas.microsoft.com/office/drawing/2010/main" Requires="a14">
        <xdr:graphicFrame macro="">
          <xdr:nvGraphicFramePr>
            <xdr:cNvPr id="6" name="دار النشر">
              <a:extLst>
                <a:ext uri="{FF2B5EF4-FFF2-40B4-BE49-F238E27FC236}">
                  <a16:creationId xmlns:a16="http://schemas.microsoft.com/office/drawing/2014/main" id="{B4A219BB-92F7-A7CC-637B-B729F66F32FB}"/>
                </a:ext>
              </a:extLst>
            </xdr:cNvPr>
            <xdr:cNvGraphicFramePr/>
          </xdr:nvGraphicFramePr>
          <xdr:xfrm>
            <a:off x="0" y="0"/>
            <a:ext cx="0" cy="0"/>
          </xdr:xfrm>
          <a:graphic>
            <a:graphicData uri="http://schemas.microsoft.com/office/drawing/2010/slicer">
              <sle:slicer xmlns:sle="http://schemas.microsoft.com/office/drawing/2010/slicer" name="دار النشر"/>
            </a:graphicData>
          </a:graphic>
        </xdr:graphicFrame>
      </mc:Choice>
      <mc:Fallback>
        <xdr:sp macro="" textlink="">
          <xdr:nvSpPr>
            <xdr:cNvPr id="0" name=""/>
            <xdr:cNvSpPr>
              <a:spLocks noTextEdit="1"/>
            </xdr:cNvSpPr>
          </xdr:nvSpPr>
          <xdr:spPr>
            <a:xfrm>
              <a:off x="13576482099" y="5222828"/>
              <a:ext cx="4571956" cy="1016883"/>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10</xdr:col>
      <xdr:colOff>510423</xdr:colOff>
      <xdr:row>26</xdr:row>
      <xdr:rowOff>135861</xdr:rowOff>
    </xdr:from>
    <xdr:to>
      <xdr:col>15</xdr:col>
      <xdr:colOff>659467</xdr:colOff>
      <xdr:row>32</xdr:row>
      <xdr:rowOff>52299</xdr:rowOff>
    </xdr:to>
    <mc:AlternateContent xmlns:mc="http://schemas.openxmlformats.org/markup-compatibility/2006">
      <mc:Choice xmlns:a14="http://schemas.microsoft.com/office/drawing/2010/main" Requires="a14">
        <xdr:graphicFrame macro="">
          <xdr:nvGraphicFramePr>
            <xdr:cNvPr id="7" name="التصنيف">
              <a:extLst>
                <a:ext uri="{FF2B5EF4-FFF2-40B4-BE49-F238E27FC236}">
                  <a16:creationId xmlns:a16="http://schemas.microsoft.com/office/drawing/2014/main" id="{D51AC732-FBB4-935A-534B-7D5C4F9E747A}"/>
                </a:ext>
              </a:extLst>
            </xdr:cNvPr>
            <xdr:cNvGraphicFramePr/>
          </xdr:nvGraphicFramePr>
          <xdr:xfrm>
            <a:off x="0" y="0"/>
            <a:ext cx="0" cy="0"/>
          </xdr:xfrm>
          <a:graphic>
            <a:graphicData uri="http://schemas.microsoft.com/office/drawing/2010/slicer">
              <sle:slicer xmlns:sle="http://schemas.microsoft.com/office/drawing/2010/slicer" name="التصنيف"/>
            </a:graphicData>
          </a:graphic>
        </xdr:graphicFrame>
      </mc:Choice>
      <mc:Fallback>
        <xdr:sp macro="" textlink="">
          <xdr:nvSpPr>
            <xdr:cNvPr id="0" name=""/>
            <xdr:cNvSpPr>
              <a:spLocks noTextEdit="1"/>
            </xdr:cNvSpPr>
          </xdr:nvSpPr>
          <xdr:spPr>
            <a:xfrm>
              <a:off x="13581922800" y="5266661"/>
              <a:ext cx="4721044" cy="1034038"/>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4</xdr:col>
      <xdr:colOff>607392</xdr:colOff>
      <xdr:row>26</xdr:row>
      <xdr:rowOff>106018</xdr:rowOff>
    </xdr:from>
    <xdr:to>
      <xdr:col>9</xdr:col>
      <xdr:colOff>1376721</xdr:colOff>
      <xdr:row>32</xdr:row>
      <xdr:rowOff>73623</xdr:rowOff>
    </xdr:to>
    <mc:AlternateContent xmlns:mc="http://schemas.openxmlformats.org/markup-compatibility/2006">
      <mc:Choice xmlns:a14="http://schemas.microsoft.com/office/drawing/2010/main" Requires="a14">
        <xdr:graphicFrame macro="">
          <xdr:nvGraphicFramePr>
            <xdr:cNvPr id="8" name="المدينة">
              <a:extLst>
                <a:ext uri="{FF2B5EF4-FFF2-40B4-BE49-F238E27FC236}">
                  <a16:creationId xmlns:a16="http://schemas.microsoft.com/office/drawing/2014/main" id="{D71533EB-9DC8-2323-EAB4-732EA511EB39}"/>
                </a:ext>
              </a:extLst>
            </xdr:cNvPr>
            <xdr:cNvGraphicFramePr/>
          </xdr:nvGraphicFramePr>
          <xdr:xfrm>
            <a:off x="0" y="0"/>
            <a:ext cx="0" cy="0"/>
          </xdr:xfrm>
          <a:graphic>
            <a:graphicData uri="http://schemas.microsoft.com/office/drawing/2010/slicer">
              <sle:slicer xmlns:sle="http://schemas.microsoft.com/office/drawing/2010/slicer" name="المدينة"/>
            </a:graphicData>
          </a:graphic>
        </xdr:graphicFrame>
      </mc:Choice>
      <mc:Fallback>
        <xdr:sp macro="" textlink="">
          <xdr:nvSpPr>
            <xdr:cNvPr id="0" name=""/>
            <xdr:cNvSpPr>
              <a:spLocks noTextEdit="1"/>
            </xdr:cNvSpPr>
          </xdr:nvSpPr>
          <xdr:spPr>
            <a:xfrm>
              <a:off x="13587199946" y="5236818"/>
              <a:ext cx="5493729" cy="1085205"/>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aa" refreshedDate="46286.731677546297" createdVersion="8" refreshedVersion="8" minRefreshableVersion="3" recordCount="3" xr:uid="{4129B51B-10AD-9842-A265-60C9AD520F56}">
  <cacheSource type="worksheet">
    <worksheetSource ref="E25:F28" sheet="معرض الكتاب"/>
  </cacheSource>
  <cacheFields count="2">
    <cacheField name="دار النشر" numFmtId="0">
      <sharedItems count="3">
        <s v="المعرفة"/>
        <s v="الفكر"/>
        <s v="الابداع"/>
      </sharedItems>
    </cacheField>
    <cacheField name="مجموع الإيرادات" numFmtId="0">
      <sharedItems containsSemiMixedTypes="0" containsString="0" containsNumber="1" containsInteger="1" minValue="23700" maxValue="41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aa" refreshedDate="46286.734752662036" createdVersion="8" refreshedVersion="8" minRefreshableVersion="3" recordCount="21" xr:uid="{9CED720E-C2D6-054B-BE32-CF6CB3238466}">
  <cacheSource type="worksheet">
    <worksheetSource ref="A1:I22" sheet="معرض الكتاب"/>
  </cacheSource>
  <cacheFields count="9">
    <cacheField name="التاريخ" numFmtId="0">
      <sharedItems count="7">
        <s v="01-Jan"/>
        <s v="02-Jan"/>
        <s v="03-Jan"/>
        <s v="04-Jan"/>
        <s v="05-Jan"/>
        <s v="06-Jan"/>
        <s v="07-Jan"/>
      </sharedItems>
    </cacheField>
    <cacheField name="الجناح" numFmtId="0">
      <sharedItems count="3">
        <s v="A1"/>
        <s v="A2"/>
        <s v="A3"/>
      </sharedItems>
    </cacheField>
    <cacheField name="دار النشر" numFmtId="0">
      <sharedItems count="3">
        <s v="المعرفة"/>
        <s v="الفكر"/>
        <s v="الإبداع"/>
      </sharedItems>
    </cacheField>
    <cacheField name="التصنيف" numFmtId="0">
      <sharedItems count="3">
        <s v="أدب"/>
        <s v="تاريخ"/>
        <s v="أطفال"/>
      </sharedItems>
    </cacheField>
    <cacheField name="عدد الكتب المباعة" numFmtId="0">
      <sharedItems containsSemiMixedTypes="0" containsString="0" containsNumber="1" containsInteger="1" minValue="80" maxValue="250"/>
    </cacheField>
    <cacheField name="الإيرادات" numFmtId="0">
      <sharedItems containsSemiMixedTypes="0" containsString="0" containsNumber="1" containsInteger="1" minValue="2400" maxValue="7500"/>
    </cacheField>
    <cacheField name="عدد الزوار" numFmtId="0">
      <sharedItems containsSemiMixedTypes="0" containsString="0" containsNumber="1" containsInteger="1" minValue="320" maxValue="750"/>
    </cacheField>
    <cacheField name="المدينة" numFmtId="0">
      <sharedItems count="3">
        <s v="الرياض"/>
        <s v="جدة"/>
        <s v="الدمام"/>
      </sharedItems>
    </cacheField>
    <cacheField name="تصنيف النجاح" numFmtId="0">
      <sharedItems containsBlank="1" count="3">
        <m/>
        <s v="أداء منخفض"/>
        <s v="أداء مرتفع"/>
      </sharedItems>
    </cacheField>
  </cacheFields>
  <extLst>
    <ext xmlns:x14="http://schemas.microsoft.com/office/spreadsheetml/2009/9/main" uri="{725AE2AE-9491-48be-B2B4-4EB974FC3084}">
      <x14:pivotCacheDefinition pivotCacheId="2047333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33000"/>
  </r>
  <r>
    <x v="1"/>
    <n v="23700"/>
  </r>
  <r>
    <x v="2"/>
    <n v="411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n v="120"/>
    <n v="3600"/>
    <n v="450"/>
    <x v="0"/>
    <x v="0"/>
  </r>
  <r>
    <x v="0"/>
    <x v="1"/>
    <x v="1"/>
    <x v="1"/>
    <n v="80"/>
    <n v="2400"/>
    <n v="320"/>
    <x v="1"/>
    <x v="0"/>
  </r>
  <r>
    <x v="0"/>
    <x v="2"/>
    <x v="2"/>
    <x v="2"/>
    <n v="150"/>
    <n v="4500"/>
    <n v="500"/>
    <x v="2"/>
    <x v="1"/>
  </r>
  <r>
    <x v="1"/>
    <x v="0"/>
    <x v="0"/>
    <x v="0"/>
    <n v="140"/>
    <n v="4200"/>
    <n v="480"/>
    <x v="0"/>
    <x v="1"/>
  </r>
  <r>
    <x v="1"/>
    <x v="1"/>
    <x v="1"/>
    <x v="1"/>
    <n v="90"/>
    <n v="2700"/>
    <n v="350"/>
    <x v="1"/>
    <x v="1"/>
  </r>
  <r>
    <x v="1"/>
    <x v="2"/>
    <x v="2"/>
    <x v="2"/>
    <n v="170"/>
    <n v="5100"/>
    <n v="550"/>
    <x v="2"/>
    <x v="2"/>
  </r>
  <r>
    <x v="2"/>
    <x v="0"/>
    <x v="0"/>
    <x v="0"/>
    <n v="160"/>
    <n v="4800"/>
    <n v="520"/>
    <x v="0"/>
    <x v="1"/>
  </r>
  <r>
    <x v="2"/>
    <x v="1"/>
    <x v="1"/>
    <x v="1"/>
    <n v="110"/>
    <n v="3300"/>
    <n v="400"/>
    <x v="1"/>
    <x v="1"/>
  </r>
  <r>
    <x v="2"/>
    <x v="2"/>
    <x v="2"/>
    <x v="2"/>
    <n v="180"/>
    <n v="5400"/>
    <n v="600"/>
    <x v="2"/>
    <x v="2"/>
  </r>
  <r>
    <x v="3"/>
    <x v="0"/>
    <x v="0"/>
    <x v="0"/>
    <n v="130"/>
    <n v="3900"/>
    <n v="470"/>
    <x v="0"/>
    <x v="1"/>
  </r>
  <r>
    <x v="3"/>
    <x v="1"/>
    <x v="1"/>
    <x v="1"/>
    <n v="100"/>
    <n v="3000"/>
    <n v="380"/>
    <x v="1"/>
    <x v="1"/>
  </r>
  <r>
    <x v="3"/>
    <x v="2"/>
    <x v="2"/>
    <x v="2"/>
    <n v="190"/>
    <n v="5700"/>
    <n v="620"/>
    <x v="2"/>
    <x v="2"/>
  </r>
  <r>
    <x v="4"/>
    <x v="0"/>
    <x v="0"/>
    <x v="0"/>
    <n v="170"/>
    <n v="5100"/>
    <n v="540"/>
    <x v="0"/>
    <x v="2"/>
  </r>
  <r>
    <x v="4"/>
    <x v="1"/>
    <x v="1"/>
    <x v="1"/>
    <n v="120"/>
    <n v="3600"/>
    <n v="420"/>
    <x v="1"/>
    <x v="1"/>
  </r>
  <r>
    <x v="4"/>
    <x v="2"/>
    <x v="2"/>
    <x v="2"/>
    <n v="210"/>
    <n v="6300"/>
    <n v="680"/>
    <x v="2"/>
    <x v="2"/>
  </r>
  <r>
    <x v="5"/>
    <x v="0"/>
    <x v="0"/>
    <x v="0"/>
    <n v="180"/>
    <n v="5400"/>
    <n v="600"/>
    <x v="0"/>
    <x v="2"/>
  </r>
  <r>
    <x v="5"/>
    <x v="1"/>
    <x v="1"/>
    <x v="1"/>
    <n v="140"/>
    <n v="4200"/>
    <n v="460"/>
    <x v="1"/>
    <x v="1"/>
  </r>
  <r>
    <x v="5"/>
    <x v="2"/>
    <x v="2"/>
    <x v="2"/>
    <n v="220"/>
    <n v="6600"/>
    <n v="700"/>
    <x v="2"/>
    <x v="2"/>
  </r>
  <r>
    <x v="6"/>
    <x v="0"/>
    <x v="0"/>
    <x v="0"/>
    <n v="200"/>
    <n v="6000"/>
    <n v="650"/>
    <x v="0"/>
    <x v="2"/>
  </r>
  <r>
    <x v="6"/>
    <x v="1"/>
    <x v="1"/>
    <x v="1"/>
    <n v="150"/>
    <n v="4500"/>
    <n v="500"/>
    <x v="1"/>
    <x v="1"/>
  </r>
  <r>
    <x v="6"/>
    <x v="2"/>
    <x v="2"/>
    <x v="2"/>
    <n v="250"/>
    <n v="7500"/>
    <n v="75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954A4F-DCED-3140-B1A1-537E3B4A6A2E}" name="PivotTable6" cacheId="7"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rowHeaderCaption="الجناح">
  <location ref="C10:D14" firstHeaderRow="1" firstDataRow="1" firstDataCol="1"/>
  <pivotFields count="9">
    <pivotField showAll="0"/>
    <pivotField axis="axisRow" showAll="0">
      <items count="4">
        <item x="0"/>
        <item x="1"/>
        <item x="2"/>
        <item t="default"/>
      </items>
    </pivotField>
    <pivotField showAll="0">
      <items count="4">
        <item x="2"/>
        <item x="1"/>
        <item x="0"/>
        <item t="default"/>
      </items>
    </pivotField>
    <pivotField showAll="0">
      <items count="4">
        <item x="0"/>
        <item x="2"/>
        <item x="1"/>
        <item t="default"/>
      </items>
    </pivotField>
    <pivotField showAll="0"/>
    <pivotField dataField="1" showAll="0"/>
    <pivotField showAll="0"/>
    <pivotField showAll="0">
      <items count="4">
        <item x="2"/>
        <item x="0"/>
        <item x="1"/>
        <item t="default"/>
      </items>
    </pivotField>
    <pivotField showAll="0"/>
  </pivotFields>
  <rowFields count="1">
    <field x="1"/>
  </rowFields>
  <rowItems count="4">
    <i>
      <x/>
    </i>
    <i>
      <x v="1"/>
    </i>
    <i>
      <x v="2"/>
    </i>
    <i t="grand">
      <x/>
    </i>
  </rowItems>
  <colItems count="1">
    <i/>
  </colItems>
  <dataFields count="1">
    <dataField name="اجمالي الإيرادات" fld="5" baseField="0" baseItem="0"/>
  </dataFields>
  <formats count="18">
    <format dxfId="1496">
      <pivotArea type="all" dataOnly="0" outline="0" fieldPosition="0"/>
    </format>
    <format dxfId="1495">
      <pivotArea outline="0" collapsedLevelsAreSubtotals="1" fieldPosition="0"/>
    </format>
    <format dxfId="1494">
      <pivotArea field="1" type="button" dataOnly="0" labelOnly="1" outline="0" axis="axisRow" fieldPosition="0"/>
    </format>
    <format dxfId="1493">
      <pivotArea dataOnly="0" labelOnly="1" fieldPosition="0">
        <references count="1">
          <reference field="1" count="0"/>
        </references>
      </pivotArea>
    </format>
    <format dxfId="1492">
      <pivotArea dataOnly="0" labelOnly="1" grandRow="1" outline="0" fieldPosition="0"/>
    </format>
    <format dxfId="1491">
      <pivotArea dataOnly="0" labelOnly="1" outline="0" axis="axisValues" fieldPosition="0"/>
    </format>
    <format dxfId="1490">
      <pivotArea type="all" dataOnly="0" outline="0" fieldPosition="0"/>
    </format>
    <format dxfId="1489">
      <pivotArea outline="0" collapsedLevelsAreSubtotals="1" fieldPosition="0"/>
    </format>
    <format dxfId="1488">
      <pivotArea field="1" type="button" dataOnly="0" labelOnly="1" outline="0" axis="axisRow" fieldPosition="0"/>
    </format>
    <format dxfId="1487">
      <pivotArea dataOnly="0" labelOnly="1" fieldPosition="0">
        <references count="1">
          <reference field="1" count="0"/>
        </references>
      </pivotArea>
    </format>
    <format dxfId="1486">
      <pivotArea dataOnly="0" labelOnly="1" grandRow="1" outline="0" fieldPosition="0"/>
    </format>
    <format dxfId="1485">
      <pivotArea dataOnly="0" labelOnly="1" outline="0" axis="axisValues" fieldPosition="0"/>
    </format>
    <format dxfId="1484">
      <pivotArea field="1" type="button" dataOnly="0" labelOnly="1" outline="0" axis="axisRow" fieldPosition="0"/>
    </format>
    <format dxfId="1483">
      <pivotArea dataOnly="0" labelOnly="1" outline="0" axis="axisValues" fieldPosition="0"/>
    </format>
    <format dxfId="1482">
      <pivotArea grandRow="1" outline="0" collapsedLevelsAreSubtotals="1" fieldPosition="0"/>
    </format>
    <format dxfId="1481">
      <pivotArea collapsedLevelsAreSubtotals="1" fieldPosition="0">
        <references count="1">
          <reference field="1" count="0"/>
        </references>
      </pivotArea>
    </format>
    <format dxfId="1480">
      <pivotArea dataOnly="0" labelOnly="1" fieldPosition="0">
        <references count="1">
          <reference field="1" count="0"/>
        </references>
      </pivotArea>
    </format>
    <format dxfId="1479">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FEC244-DB82-AE45-A24B-581E1C0AC82D}" name="PivotTable4" cacheId="7"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6" rowHeaderCaption="أيام المعرض">
  <location ref="O3:P11" firstHeaderRow="1" firstDataRow="1" firstDataCol="1"/>
  <pivotFields count="9">
    <pivotField axis="axisRow" showAll="0">
      <items count="8">
        <item x="0"/>
        <item x="1"/>
        <item x="2"/>
        <item x="3"/>
        <item x="4"/>
        <item x="5"/>
        <item x="6"/>
        <item t="default"/>
      </items>
    </pivotField>
    <pivotField showAll="0"/>
    <pivotField showAll="0">
      <items count="4">
        <item x="2"/>
        <item x="1"/>
        <item x="0"/>
        <item t="default"/>
      </items>
    </pivotField>
    <pivotField showAll="0">
      <items count="4">
        <item x="0"/>
        <item x="2"/>
        <item x="1"/>
        <item t="default"/>
      </items>
    </pivotField>
    <pivotField showAll="0"/>
    <pivotField showAll="0"/>
    <pivotField dataField="1" showAll="0"/>
    <pivotField showAll="0">
      <items count="4">
        <item x="2"/>
        <item x="0"/>
        <item x="1"/>
        <item t="default"/>
      </items>
    </pivotField>
    <pivotField showAll="0"/>
  </pivotFields>
  <rowFields count="1">
    <field x="0"/>
  </rowFields>
  <rowItems count="8">
    <i>
      <x/>
    </i>
    <i>
      <x v="1"/>
    </i>
    <i>
      <x v="2"/>
    </i>
    <i>
      <x v="3"/>
    </i>
    <i>
      <x v="4"/>
    </i>
    <i>
      <x v="5"/>
    </i>
    <i>
      <x v="6"/>
    </i>
    <i t="grand">
      <x/>
    </i>
  </rowItems>
  <colItems count="1">
    <i/>
  </colItems>
  <dataFields count="1">
    <dataField name="تطور عدد الزوار" fld="6" baseField="0" baseItem="0"/>
  </dataFields>
  <formats count="30">
    <format dxfId="1527">
      <pivotArea field="0" type="button" dataOnly="0" labelOnly="1" outline="0" axis="axisRow" fieldPosition="0"/>
    </format>
    <format dxfId="1526">
      <pivotArea dataOnly="0" labelOnly="1" outline="0" axis="axisValues" fieldPosition="0"/>
    </format>
    <format dxfId="1525">
      <pivotArea grandRow="1" outline="0" collapsedLevelsAreSubtotals="1" fieldPosition="0"/>
    </format>
    <format dxfId="1524">
      <pivotArea dataOnly="0" fieldPosition="0">
        <references count="1">
          <reference field="0" count="0"/>
        </references>
      </pivotArea>
    </format>
    <format dxfId="1523">
      <pivotArea dataOnly="0" grandRow="1" fieldPosition="0"/>
    </format>
    <format dxfId="1522">
      <pivotArea grandRow="1" outline="0" collapsedLevelsAreSubtotals="1" fieldPosition="0"/>
    </format>
    <format dxfId="1521">
      <pivotArea type="all" dataOnly="0" outline="0" fieldPosition="0"/>
    </format>
    <format dxfId="1520">
      <pivotArea outline="0" collapsedLevelsAreSubtotals="1" fieldPosition="0"/>
    </format>
    <format dxfId="1519">
      <pivotArea field="0" type="button" dataOnly="0" labelOnly="1" outline="0" axis="axisRow" fieldPosition="0"/>
    </format>
    <format dxfId="1518">
      <pivotArea dataOnly="0" labelOnly="1" fieldPosition="0">
        <references count="1">
          <reference field="0" count="0"/>
        </references>
      </pivotArea>
    </format>
    <format dxfId="1517">
      <pivotArea dataOnly="0" labelOnly="1" grandRow="1" outline="0" fieldPosition="0"/>
    </format>
    <format dxfId="1516">
      <pivotArea dataOnly="0" labelOnly="1" outline="0" axis="axisValues" fieldPosition="0"/>
    </format>
    <format dxfId="1515">
      <pivotArea type="all" dataOnly="0" outline="0" fieldPosition="0"/>
    </format>
    <format dxfId="1514">
      <pivotArea outline="0" collapsedLevelsAreSubtotals="1" fieldPosition="0"/>
    </format>
    <format dxfId="1513">
      <pivotArea field="0" type="button" dataOnly="0" labelOnly="1" outline="0" axis="axisRow" fieldPosition="0"/>
    </format>
    <format dxfId="1512">
      <pivotArea dataOnly="0" labelOnly="1" fieldPosition="0">
        <references count="1">
          <reference field="0" count="0"/>
        </references>
      </pivotArea>
    </format>
    <format dxfId="1511">
      <pivotArea dataOnly="0" labelOnly="1" grandRow="1" outline="0" fieldPosition="0"/>
    </format>
    <format dxfId="1510">
      <pivotArea dataOnly="0" labelOnly="1" outline="0" axis="axisValues" fieldPosition="0"/>
    </format>
    <format dxfId="1509">
      <pivotArea type="all" dataOnly="0" outline="0" fieldPosition="0"/>
    </format>
    <format dxfId="1508">
      <pivotArea outline="0" collapsedLevelsAreSubtotals="1" fieldPosition="0"/>
    </format>
    <format dxfId="1507">
      <pivotArea field="0" type="button" dataOnly="0" labelOnly="1" outline="0" axis="axisRow" fieldPosition="0"/>
    </format>
    <format dxfId="1506">
      <pivotArea dataOnly="0" labelOnly="1" fieldPosition="0">
        <references count="1">
          <reference field="0" count="0"/>
        </references>
      </pivotArea>
    </format>
    <format dxfId="1505">
      <pivotArea dataOnly="0" labelOnly="1" grandRow="1" outline="0" fieldPosition="0"/>
    </format>
    <format dxfId="1504">
      <pivotArea dataOnly="0" labelOnly="1" outline="0" axis="axisValues" fieldPosition="0"/>
    </format>
    <format dxfId="1503">
      <pivotArea type="all" dataOnly="0" outline="0" fieldPosition="0"/>
    </format>
    <format dxfId="1502">
      <pivotArea outline="0" collapsedLevelsAreSubtotals="1" fieldPosition="0"/>
    </format>
    <format dxfId="1501">
      <pivotArea field="0" type="button" dataOnly="0" labelOnly="1" outline="0" axis="axisRow" fieldPosition="0"/>
    </format>
    <format dxfId="1500">
      <pivotArea dataOnly="0" labelOnly="1" fieldPosition="0">
        <references count="1">
          <reference field="0" count="0"/>
        </references>
      </pivotArea>
    </format>
    <format dxfId="1499">
      <pivotArea dataOnly="0" labelOnly="1" grandRow="1" outline="0" fieldPosition="0"/>
    </format>
    <format dxfId="149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28DD22-327A-504B-A787-837FAD6C0DDD}" name="PivotTable7"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9" rowHeaderCaption="دار النشر">
  <location ref="F3:G7" firstHeaderRow="1" firstDataRow="1" firstDataCol="1"/>
  <pivotFields count="2">
    <pivotField axis="axisRow" showAll="0">
      <items count="4">
        <item x="2"/>
        <item x="1"/>
        <item x="0"/>
        <item t="default"/>
      </items>
    </pivotField>
    <pivotField dataField="1" showAll="0"/>
  </pivotFields>
  <rowFields count="1">
    <field x="0"/>
  </rowFields>
  <rowItems count="4">
    <i>
      <x/>
    </i>
    <i>
      <x v="1"/>
    </i>
    <i>
      <x v="2"/>
    </i>
    <i t="grand">
      <x/>
    </i>
  </rowItems>
  <colItems count="1">
    <i/>
  </colItems>
  <dataFields count="1">
    <dataField name="إجمالي الإيرادات" fld="1" baseField="0" baseItem="0"/>
  </dataFields>
  <formats count="31">
    <format dxfId="1558">
      <pivotArea type="all" dataOnly="0" outline="0" fieldPosition="0"/>
    </format>
    <format dxfId="1557">
      <pivotArea outline="0" collapsedLevelsAreSubtotals="1" fieldPosition="0"/>
    </format>
    <format dxfId="1556">
      <pivotArea field="0" type="button" dataOnly="0" labelOnly="1" outline="0" axis="axisRow" fieldPosition="0"/>
    </format>
    <format dxfId="1555">
      <pivotArea dataOnly="0" labelOnly="1" fieldPosition="0">
        <references count="1">
          <reference field="0" count="0"/>
        </references>
      </pivotArea>
    </format>
    <format dxfId="1554">
      <pivotArea dataOnly="0" labelOnly="1" grandRow="1" outline="0" fieldPosition="0"/>
    </format>
    <format dxfId="1553">
      <pivotArea dataOnly="0" labelOnly="1" outline="0" axis="axisValues" fieldPosition="0"/>
    </format>
    <format dxfId="1552">
      <pivotArea type="all" dataOnly="0" outline="0" fieldPosition="0"/>
    </format>
    <format dxfId="1551">
      <pivotArea outline="0" collapsedLevelsAreSubtotals="1" fieldPosition="0"/>
    </format>
    <format dxfId="1550">
      <pivotArea field="0" type="button" dataOnly="0" labelOnly="1" outline="0" axis="axisRow" fieldPosition="0"/>
    </format>
    <format dxfId="1549">
      <pivotArea dataOnly="0" labelOnly="1" fieldPosition="0">
        <references count="1">
          <reference field="0" count="0"/>
        </references>
      </pivotArea>
    </format>
    <format dxfId="1548">
      <pivotArea dataOnly="0" labelOnly="1" grandRow="1" outline="0" fieldPosition="0"/>
    </format>
    <format dxfId="1547">
      <pivotArea dataOnly="0" labelOnly="1" outline="0" axis="axisValues" fieldPosition="0"/>
    </format>
    <format dxfId="1546">
      <pivotArea type="all" dataOnly="0" outline="0" fieldPosition="0"/>
    </format>
    <format dxfId="1545">
      <pivotArea outline="0" collapsedLevelsAreSubtotals="1" fieldPosition="0"/>
    </format>
    <format dxfId="1544">
      <pivotArea dataOnly="0" labelOnly="1" fieldPosition="0">
        <references count="1">
          <reference field="0" count="0"/>
        </references>
      </pivotArea>
    </format>
    <format dxfId="1543">
      <pivotArea dataOnly="0" labelOnly="1" grandRow="1" outline="0" fieldPosition="0"/>
    </format>
    <format dxfId="1542">
      <pivotArea field="0" type="button" dataOnly="0" labelOnly="1" outline="0" axis="axisRow" fieldPosition="0"/>
    </format>
    <format dxfId="1541">
      <pivotArea dataOnly="0" labelOnly="1" outline="0" axis="axisValues" fieldPosition="0"/>
    </format>
    <format dxfId="1540">
      <pivotArea type="all" dataOnly="0" outline="0" fieldPosition="0"/>
    </format>
    <format dxfId="1539">
      <pivotArea outline="0" collapsedLevelsAreSubtotals="1" fieldPosition="0"/>
    </format>
    <format dxfId="1538">
      <pivotArea field="0" type="button" dataOnly="0" labelOnly="1" outline="0" axis="axisRow" fieldPosition="0"/>
    </format>
    <format dxfId="1537">
      <pivotArea dataOnly="0" labelOnly="1" fieldPosition="0">
        <references count="1">
          <reference field="0" count="0"/>
        </references>
      </pivotArea>
    </format>
    <format dxfId="1536">
      <pivotArea dataOnly="0" labelOnly="1" grandRow="1" outline="0" fieldPosition="0"/>
    </format>
    <format dxfId="1535">
      <pivotArea dataOnly="0" labelOnly="1" outline="0" axis="axisValues" fieldPosition="0"/>
    </format>
    <format dxfId="1534">
      <pivotArea grandRow="1" outline="0" collapsedLevelsAreSubtotals="1" fieldPosition="0"/>
    </format>
    <format dxfId="1533">
      <pivotArea type="all" dataOnly="0" outline="0" fieldPosition="0"/>
    </format>
    <format dxfId="1532">
      <pivotArea outline="0" collapsedLevelsAreSubtotals="1" fieldPosition="0"/>
    </format>
    <format dxfId="1531">
      <pivotArea field="0" type="button" dataOnly="0" labelOnly="1" outline="0" axis="axisRow" fieldPosition="0"/>
    </format>
    <format dxfId="1530">
      <pivotArea dataOnly="0" labelOnly="1" fieldPosition="0">
        <references count="1">
          <reference field="0" count="0"/>
        </references>
      </pivotArea>
    </format>
    <format dxfId="1529">
      <pivotArea dataOnly="0" labelOnly="1" grandRow="1" outline="0" fieldPosition="0"/>
    </format>
    <format dxfId="152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E8DBAE-596B-6E4D-968E-735BFC3E79A0}" name="PivotTable5" cacheId="7"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rowHeaderCaption="الجناح">
  <location ref="L3:M7" firstHeaderRow="1" firstDataRow="1" firstDataCol="1"/>
  <pivotFields count="9">
    <pivotField showAll="0"/>
    <pivotField axis="axisRow" showAll="0">
      <items count="4">
        <item x="0"/>
        <item x="1"/>
        <item x="2"/>
        <item t="default"/>
      </items>
    </pivotField>
    <pivotField showAll="0">
      <items count="4">
        <item x="2"/>
        <item x="1"/>
        <item x="0"/>
        <item t="default"/>
      </items>
    </pivotField>
    <pivotField showAll="0">
      <items count="4">
        <item x="0"/>
        <item x="2"/>
        <item x="1"/>
        <item t="default"/>
      </items>
    </pivotField>
    <pivotField dataField="1" showAll="0"/>
    <pivotField showAll="0"/>
    <pivotField showAll="0"/>
    <pivotField showAll="0">
      <items count="4">
        <item x="2"/>
        <item x="0"/>
        <item x="1"/>
        <item t="default"/>
      </items>
    </pivotField>
    <pivotField showAll="0"/>
  </pivotFields>
  <rowFields count="1">
    <field x="1"/>
  </rowFields>
  <rowItems count="4">
    <i>
      <x/>
    </i>
    <i>
      <x v="1"/>
    </i>
    <i>
      <x v="2"/>
    </i>
    <i t="grand">
      <x/>
    </i>
  </rowItems>
  <colItems count="1">
    <i/>
  </colItems>
  <dataFields count="1">
    <dataField name="إجمالي الكتب المباعة" fld="4" baseField="0" baseItem="0"/>
  </dataFields>
  <formats count="33">
    <format dxfId="1591">
      <pivotArea type="all" dataOnly="0" outline="0" fieldPosition="0"/>
    </format>
    <format dxfId="1590">
      <pivotArea outline="0" collapsedLevelsAreSubtotals="1" fieldPosition="0"/>
    </format>
    <format dxfId="1589">
      <pivotArea field="1" type="button" dataOnly="0" labelOnly="1" outline="0" axis="axisRow" fieldPosition="0"/>
    </format>
    <format dxfId="1588">
      <pivotArea dataOnly="0" labelOnly="1" fieldPosition="0">
        <references count="1">
          <reference field="1" count="0"/>
        </references>
      </pivotArea>
    </format>
    <format dxfId="1587">
      <pivotArea dataOnly="0" labelOnly="1" grandRow="1" outline="0" fieldPosition="0"/>
    </format>
    <format dxfId="1586">
      <pivotArea dataOnly="0" labelOnly="1" outline="0" axis="axisValues" fieldPosition="0"/>
    </format>
    <format dxfId="1585">
      <pivotArea type="all" dataOnly="0" outline="0" fieldPosition="0"/>
    </format>
    <format dxfId="1584">
      <pivotArea outline="0" collapsedLevelsAreSubtotals="1" fieldPosition="0"/>
    </format>
    <format dxfId="1583">
      <pivotArea field="1" type="button" dataOnly="0" labelOnly="1" outline="0" axis="axisRow" fieldPosition="0"/>
    </format>
    <format dxfId="1582">
      <pivotArea dataOnly="0" labelOnly="1" fieldPosition="0">
        <references count="1">
          <reference field="1" count="0"/>
        </references>
      </pivotArea>
    </format>
    <format dxfId="1581">
      <pivotArea dataOnly="0" labelOnly="1" grandRow="1" outline="0" fieldPosition="0"/>
    </format>
    <format dxfId="1580">
      <pivotArea dataOnly="0" labelOnly="1" outline="0" axis="axisValues" fieldPosition="0"/>
    </format>
    <format dxfId="1579">
      <pivotArea type="all" dataOnly="0" outline="0" fieldPosition="0"/>
    </format>
    <format dxfId="1578">
      <pivotArea outline="0" collapsedLevelsAreSubtotals="1" fieldPosition="0"/>
    </format>
    <format dxfId="1577">
      <pivotArea field="1" type="button" dataOnly="0" labelOnly="1" outline="0" axis="axisRow" fieldPosition="0"/>
    </format>
    <format dxfId="1576">
      <pivotArea dataOnly="0" labelOnly="1" fieldPosition="0">
        <references count="1">
          <reference field="1" count="0"/>
        </references>
      </pivotArea>
    </format>
    <format dxfId="1575">
      <pivotArea dataOnly="0" labelOnly="1" grandRow="1" outline="0" fieldPosition="0"/>
    </format>
    <format dxfId="1574">
      <pivotArea dataOnly="0" labelOnly="1" outline="0" axis="axisValues" fieldPosition="0"/>
    </format>
    <format dxfId="1573">
      <pivotArea type="all" dataOnly="0" outline="0" fieldPosition="0"/>
    </format>
    <format dxfId="1572">
      <pivotArea outline="0" collapsedLevelsAreSubtotals="1" fieldPosition="0"/>
    </format>
    <format dxfId="1571">
      <pivotArea field="1" type="button" dataOnly="0" labelOnly="1" outline="0" axis="axisRow" fieldPosition="0"/>
    </format>
    <format dxfId="1570">
      <pivotArea dataOnly="0" labelOnly="1" fieldPosition="0">
        <references count="1">
          <reference field="1" count="0"/>
        </references>
      </pivotArea>
    </format>
    <format dxfId="1569">
      <pivotArea dataOnly="0" labelOnly="1" grandRow="1" outline="0" fieldPosition="0"/>
    </format>
    <format dxfId="1568">
      <pivotArea dataOnly="0" labelOnly="1" outline="0" axis="axisValues" fieldPosition="0"/>
    </format>
    <format dxfId="1567">
      <pivotArea type="all" dataOnly="0" outline="0" fieldPosition="0"/>
    </format>
    <format dxfId="1566">
      <pivotArea outline="0" collapsedLevelsAreSubtotals="1" fieldPosition="0"/>
    </format>
    <format dxfId="1565">
      <pivotArea field="1" type="button" dataOnly="0" labelOnly="1" outline="0" axis="axisRow" fieldPosition="0"/>
    </format>
    <format dxfId="1564">
      <pivotArea dataOnly="0" labelOnly="1" fieldPosition="0">
        <references count="1">
          <reference field="1" count="0"/>
        </references>
      </pivotArea>
    </format>
    <format dxfId="1563">
      <pivotArea dataOnly="0" labelOnly="1" grandRow="1" outline="0" fieldPosition="0"/>
    </format>
    <format dxfId="1562">
      <pivotArea dataOnly="0" labelOnly="1" outline="0" axis="axisValues" fieldPosition="0"/>
    </format>
    <format dxfId="1561">
      <pivotArea collapsedLevelsAreSubtotals="1" fieldPosition="0">
        <references count="1">
          <reference field="1" count="0"/>
        </references>
      </pivotArea>
    </format>
    <format dxfId="1560">
      <pivotArea dataOnly="0" labelOnly="1" fieldPosition="0">
        <references count="1">
          <reference field="1" count="0"/>
        </references>
      </pivotArea>
    </format>
    <format dxfId="155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409BC-8A0D-354D-AFE7-FDC746F66FD8}" name="PivotTable2" cacheId="7"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rowHeaderCaption="المدينة">
  <location ref="I3:J7" firstHeaderRow="1" firstDataRow="1" firstDataCol="1"/>
  <pivotFields count="9">
    <pivotField showAll="0"/>
    <pivotField showAll="0"/>
    <pivotField showAll="0">
      <items count="4">
        <item x="2"/>
        <item x="1"/>
        <item x="0"/>
        <item t="default"/>
      </items>
    </pivotField>
    <pivotField showAll="0" sortType="ascending">
      <items count="4">
        <item x="0"/>
        <item x="2"/>
        <item x="1"/>
        <item t="default"/>
      </items>
    </pivotField>
    <pivotField showAll="0"/>
    <pivotField showAll="0"/>
    <pivotField dataField="1" showAll="0"/>
    <pivotField axis="axisRow" showAll="0">
      <items count="4">
        <item x="2"/>
        <item x="0"/>
        <item x="1"/>
        <item t="default"/>
      </items>
    </pivotField>
    <pivotField showAll="0"/>
  </pivotFields>
  <rowFields count="1">
    <field x="7"/>
  </rowFields>
  <rowItems count="4">
    <i>
      <x/>
    </i>
    <i>
      <x v="1"/>
    </i>
    <i>
      <x v="2"/>
    </i>
    <i t="grand">
      <x/>
    </i>
  </rowItems>
  <colItems count="1">
    <i/>
  </colItems>
  <dataFields count="1">
    <dataField name="إجمالي الزوار" fld="6" baseField="0" baseItem="0"/>
  </dataFields>
  <formats count="28">
    <format dxfId="1618">
      <pivotArea type="all" dataOnly="0" outline="0" fieldPosition="0"/>
    </format>
    <format dxfId="1617">
      <pivotArea outline="0" collapsedLevelsAreSubtotals="1" fieldPosition="0"/>
    </format>
    <format dxfId="1616">
      <pivotArea field="3" type="button" dataOnly="0" labelOnly="1" outline="0"/>
    </format>
    <format dxfId="1615">
      <pivotArea dataOnly="0" labelOnly="1" grandRow="1" outline="0" fieldPosition="0"/>
    </format>
    <format dxfId="1614">
      <pivotArea dataOnly="0" labelOnly="1" outline="0" axis="axisValues" fieldPosition="0"/>
    </format>
    <format dxfId="1613">
      <pivotArea field="3" type="button" dataOnly="0" labelOnly="1" outline="0"/>
    </format>
    <format dxfId="1612">
      <pivotArea dataOnly="0" labelOnly="1" outline="0" axis="axisValues" fieldPosition="0"/>
    </format>
    <format dxfId="1611">
      <pivotArea grandRow="1" outline="0" collapsedLevelsAreSubtotals="1" fieldPosition="0"/>
    </format>
    <format dxfId="1610">
      <pivotArea type="all" dataOnly="0" outline="0" fieldPosition="0"/>
    </format>
    <format dxfId="1609">
      <pivotArea outline="0" collapsedLevelsAreSubtotals="1" fieldPosition="0"/>
    </format>
    <format dxfId="1608">
      <pivotArea field="3" type="button" dataOnly="0" labelOnly="1" outline="0"/>
    </format>
    <format dxfId="1607">
      <pivotArea dataOnly="0" labelOnly="1" grandRow="1" outline="0" fieldPosition="0"/>
    </format>
    <format dxfId="1606">
      <pivotArea dataOnly="0" labelOnly="1" outline="0" axis="axisValues" fieldPosition="0"/>
    </format>
    <format dxfId="1605">
      <pivotArea type="all" dataOnly="0" outline="0" fieldPosition="0"/>
    </format>
    <format dxfId="1604">
      <pivotArea outline="0" collapsedLevelsAreSubtotals="1" fieldPosition="0"/>
    </format>
    <format dxfId="1603">
      <pivotArea field="3" type="button" dataOnly="0" labelOnly="1" outline="0"/>
    </format>
    <format dxfId="1602">
      <pivotArea dataOnly="0" labelOnly="1" grandRow="1" outline="0" fieldPosition="0"/>
    </format>
    <format dxfId="1601">
      <pivotArea dataOnly="0" labelOnly="1" outline="0" axis="axisValues" fieldPosition="0"/>
    </format>
    <format dxfId="1600">
      <pivotArea type="all" dataOnly="0" outline="0" fieldPosition="0"/>
    </format>
    <format dxfId="1599">
      <pivotArea outline="0" collapsedLevelsAreSubtotals="1" fieldPosition="0"/>
    </format>
    <format dxfId="1598">
      <pivotArea field="3" type="button" dataOnly="0" labelOnly="1" outline="0"/>
    </format>
    <format dxfId="1597">
      <pivotArea dataOnly="0" labelOnly="1" grandRow="1" outline="0" fieldPosition="0"/>
    </format>
    <format dxfId="1596">
      <pivotArea dataOnly="0" labelOnly="1" outline="0" axis="axisValues" fieldPosition="0"/>
    </format>
    <format dxfId="1595">
      <pivotArea outline="0" collapsedLevelsAreSubtotals="1" fieldPosition="0"/>
    </format>
    <format dxfId="1594">
      <pivotArea dataOnly="0" labelOnly="1" grandRow="1" outline="0" fieldPosition="0"/>
    </format>
    <format dxfId="1593">
      <pivotArea field="3" type="button" dataOnly="0" labelOnly="1" outline="0"/>
    </format>
    <format dxfId="1592">
      <pivotArea dataOnly="0" labelOnly="1" outline="0" axis="axisValues" fieldPosition="0"/>
    </format>
    <format dxfId="1497">
      <pivotArea field="7"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6407D-C0E0-2948-891A-A275B5A7A5C9}" name="PivotTable1" cacheId="7"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rowHeaderCaption="التصنيف">
  <location ref="C3:D7" firstHeaderRow="1" firstDataRow="1" firstDataCol="1"/>
  <pivotFields count="9">
    <pivotField showAll="0"/>
    <pivotField showAll="0"/>
    <pivotField showAll="0"/>
    <pivotField axis="axisRow" showAll="0" sortType="ascending">
      <items count="4">
        <item x="0"/>
        <item x="2"/>
        <item x="1"/>
        <item t="default"/>
      </items>
    </pivotField>
    <pivotField dataField="1" showAll="0"/>
    <pivotField showAll="0"/>
    <pivotField showAll="0"/>
    <pivotField showAll="0"/>
    <pivotField showAll="0"/>
  </pivotFields>
  <rowFields count="1">
    <field x="3"/>
  </rowFields>
  <rowItems count="4">
    <i>
      <x/>
    </i>
    <i>
      <x v="1"/>
    </i>
    <i>
      <x v="2"/>
    </i>
    <i t="grand">
      <x/>
    </i>
  </rowItems>
  <colItems count="1">
    <i/>
  </colItems>
  <dataFields count="1">
    <dataField name=" عدد الكتب المباعة" fld="4" baseField="0" baseItem="0"/>
  </dataFields>
  <formats count="32">
    <format dxfId="1650">
      <pivotArea type="all" dataOnly="0" outline="0" fieldPosition="0"/>
    </format>
    <format dxfId="1649">
      <pivotArea outline="0" collapsedLevelsAreSubtotals="1" fieldPosition="0"/>
    </format>
    <format dxfId="1648">
      <pivotArea field="3" type="button" dataOnly="0" labelOnly="1" outline="0" axis="axisRow" fieldPosition="0"/>
    </format>
    <format dxfId="1647">
      <pivotArea dataOnly="0" labelOnly="1" fieldPosition="0">
        <references count="1">
          <reference field="3" count="0"/>
        </references>
      </pivotArea>
    </format>
    <format dxfId="1646">
      <pivotArea dataOnly="0" labelOnly="1" grandRow="1" outline="0" fieldPosition="0"/>
    </format>
    <format dxfId="1645">
      <pivotArea dataOnly="0" labelOnly="1" outline="0" axis="axisValues" fieldPosition="0"/>
    </format>
    <format dxfId="1644">
      <pivotArea field="3" type="button" dataOnly="0" labelOnly="1" outline="0" axis="axisRow" fieldPosition="0"/>
    </format>
    <format dxfId="1643">
      <pivotArea dataOnly="0" labelOnly="1" outline="0" axis="axisValues" fieldPosition="0"/>
    </format>
    <format dxfId="1642">
      <pivotArea grandRow="1" outline="0" collapsedLevelsAreSubtotals="1" fieldPosition="0"/>
    </format>
    <format dxfId="1641">
      <pivotArea type="all" dataOnly="0" outline="0" fieldPosition="0"/>
    </format>
    <format dxfId="1640">
      <pivotArea outline="0" collapsedLevelsAreSubtotals="1" fieldPosition="0"/>
    </format>
    <format dxfId="1639">
      <pivotArea field="3" type="button" dataOnly="0" labelOnly="1" outline="0" axis="axisRow" fieldPosition="0"/>
    </format>
    <format dxfId="1638">
      <pivotArea dataOnly="0" labelOnly="1" fieldPosition="0">
        <references count="1">
          <reference field="3" count="0"/>
        </references>
      </pivotArea>
    </format>
    <format dxfId="1637">
      <pivotArea dataOnly="0" labelOnly="1" grandRow="1" outline="0" fieldPosition="0"/>
    </format>
    <format dxfId="1636">
      <pivotArea dataOnly="0" labelOnly="1" outline="0" axis="axisValues" fieldPosition="0"/>
    </format>
    <format dxfId="1635">
      <pivotArea type="all" dataOnly="0" outline="0" fieldPosition="0"/>
    </format>
    <format dxfId="1634">
      <pivotArea outline="0" collapsedLevelsAreSubtotals="1" fieldPosition="0"/>
    </format>
    <format dxfId="1633">
      <pivotArea field="3" type="button" dataOnly="0" labelOnly="1" outline="0" axis="axisRow" fieldPosition="0"/>
    </format>
    <format dxfId="1632">
      <pivotArea dataOnly="0" labelOnly="1" fieldPosition="0">
        <references count="1">
          <reference field="3" count="0"/>
        </references>
      </pivotArea>
    </format>
    <format dxfId="1631">
      <pivotArea dataOnly="0" labelOnly="1" grandRow="1" outline="0" fieldPosition="0"/>
    </format>
    <format dxfId="1630">
      <pivotArea dataOnly="0" labelOnly="1" outline="0" axis="axisValues" fieldPosition="0"/>
    </format>
    <format dxfId="1629">
      <pivotArea type="all" dataOnly="0" outline="0" fieldPosition="0"/>
    </format>
    <format dxfId="1628">
      <pivotArea outline="0" collapsedLevelsAreSubtotals="1" fieldPosition="0"/>
    </format>
    <format dxfId="1627">
      <pivotArea field="3" type="button" dataOnly="0" labelOnly="1" outline="0" axis="axisRow" fieldPosition="0"/>
    </format>
    <format dxfId="1626">
      <pivotArea dataOnly="0" labelOnly="1" fieldPosition="0">
        <references count="1">
          <reference field="3" count="0"/>
        </references>
      </pivotArea>
    </format>
    <format dxfId="1625">
      <pivotArea dataOnly="0" labelOnly="1" grandRow="1" outline="0" fieldPosition="0"/>
    </format>
    <format dxfId="1624">
      <pivotArea dataOnly="0" labelOnly="1" outline="0" axis="axisValues" fieldPosition="0"/>
    </format>
    <format dxfId="1623">
      <pivotArea outline="0" collapsedLevelsAreSubtotals="1" fieldPosition="0"/>
    </format>
    <format dxfId="1622">
      <pivotArea dataOnly="0" labelOnly="1" fieldPosition="0">
        <references count="1">
          <reference field="3" count="0"/>
        </references>
      </pivotArea>
    </format>
    <format dxfId="1621">
      <pivotArea dataOnly="0" labelOnly="1" grandRow="1" outline="0" fieldPosition="0"/>
    </format>
    <format dxfId="1620">
      <pivotArea field="3" type="button" dataOnly="0" labelOnly="1" outline="0" axis="axisRow" fieldPosition="0"/>
    </format>
    <format dxfId="1619">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دار_النشر" xr10:uid="{E60A49AF-384A-184A-8A28-9CF74B1F8FDB}" sourceName="دار النشر">
  <pivotTables>
    <pivotTable tabId="2" name="PivotTable4"/>
    <pivotTable tabId="2" name="PivotTable2"/>
    <pivotTable tabId="2" name="PivotTable5"/>
    <pivotTable tabId="2" name="PivotTable6"/>
  </pivotTables>
  <data>
    <tabular pivotCacheId="204733366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تصنيف" xr10:uid="{BF12FBA5-FE0C-B34F-9947-6E2ED62AF670}" sourceName="التصنيف">
  <pivotTables>
    <pivotTable tabId="2" name="PivotTable4"/>
    <pivotTable tabId="2" name="PivotTable2"/>
    <pivotTable tabId="2" name="PivotTable5"/>
    <pivotTable tabId="2" name="PivotTable6"/>
    <pivotTable tabId="2" name="PivotTable1"/>
  </pivotTables>
  <data>
    <tabular pivotCacheId="204733366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دينة" xr10:uid="{5B15A4CF-2F6A-914E-9C72-7DBE2A0B8907}" sourceName="المدينة">
  <pivotTables>
    <pivotTable tabId="2" name="PivotTable4"/>
    <pivotTable tabId="2" name="PivotTable2"/>
    <pivotTable tabId="2" name="PivotTable5"/>
    <pivotTable tabId="2" name="PivotTable6"/>
  </pivotTables>
  <data>
    <tabular pivotCacheId="204733366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دار النشر" xr10:uid="{82676680-7C22-8541-860F-01E8DC0D862C}" cache="مقسم_طريقة_العرض_دار_النشر" caption="دار النشر" columnCount="3" style="SlicerStyleLight2" rowHeight="731520"/>
  <slicer name="التصنيف" xr10:uid="{51A76710-5E79-764C-B1C9-0377918AE015}" cache="مقسم_طريقة_العرض_التصنيف" caption="التصنيف" columnCount="3" style="SlicerStyleLight4" rowHeight="731520"/>
  <slicer name="المدينة" xr10:uid="{2EA81F02-90DA-2C46-8415-3AE5ADFD296D}" cache="مقسم_طريقة_العرض_المدينة" caption="المدينة" columnCount="3" rowHeight="9144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1CE8-7CFC-C840-AD21-37F4A65C431F}">
  <dimension ref="A3:P14"/>
  <sheetViews>
    <sheetView rightToLeft="1" zoomScale="82" workbookViewId="0">
      <selection activeCell="C10" sqref="C10:D14"/>
    </sheetView>
  </sheetViews>
  <sheetFormatPr baseColWidth="10" defaultRowHeight="15" x14ac:dyDescent="0.2"/>
  <cols>
    <col min="1" max="2" width="12.5" customWidth="1"/>
    <col min="3" max="3" width="13.33203125" bestFit="1" customWidth="1"/>
    <col min="4" max="4" width="17.33203125" customWidth="1"/>
    <col min="5" max="5" width="7.83203125" customWidth="1"/>
    <col min="6" max="6" width="13.83203125" customWidth="1"/>
    <col min="7" max="7" width="19.1640625" customWidth="1"/>
    <col min="8" max="8" width="8.33203125" customWidth="1"/>
    <col min="9" max="9" width="13.33203125" bestFit="1" customWidth="1"/>
    <col min="10" max="10" width="12.6640625" bestFit="1" customWidth="1"/>
    <col min="11" max="11" width="8.83203125" customWidth="1"/>
    <col min="12" max="12" width="13.33203125" bestFit="1" customWidth="1"/>
    <col min="13" max="13" width="20.5" bestFit="1" customWidth="1"/>
    <col min="15" max="15" width="17.1640625" bestFit="1" customWidth="1"/>
    <col min="16" max="16" width="15.83203125" bestFit="1" customWidth="1"/>
  </cols>
  <sheetData>
    <row r="3" spans="1:16" ht="21" x14ac:dyDescent="0.25">
      <c r="A3" s="15" t="s">
        <v>39</v>
      </c>
      <c r="B3" s="16" t="s">
        <v>40</v>
      </c>
      <c r="C3" s="9" t="s">
        <v>3</v>
      </c>
      <c r="D3" s="9" t="s">
        <v>35</v>
      </c>
      <c r="F3" s="9" t="s">
        <v>2</v>
      </c>
      <c r="G3" s="9" t="s">
        <v>34</v>
      </c>
      <c r="I3" s="40" t="s">
        <v>7</v>
      </c>
      <c r="J3" s="9" t="s">
        <v>37</v>
      </c>
      <c r="L3" s="11" t="s">
        <v>1</v>
      </c>
      <c r="M3" s="11" t="s">
        <v>38</v>
      </c>
      <c r="O3" s="11" t="s">
        <v>48</v>
      </c>
      <c r="P3" s="11" t="s">
        <v>49</v>
      </c>
    </row>
    <row r="4" spans="1:16" ht="21" x14ac:dyDescent="0.25">
      <c r="A4" s="15"/>
      <c r="B4" s="17"/>
      <c r="C4" s="10" t="s">
        <v>11</v>
      </c>
      <c r="D4" s="41">
        <v>1100</v>
      </c>
      <c r="F4" s="10" t="s">
        <v>32</v>
      </c>
      <c r="G4" s="10">
        <v>41100</v>
      </c>
      <c r="I4" s="8" t="s">
        <v>20</v>
      </c>
      <c r="J4" s="41">
        <v>4400</v>
      </c>
      <c r="L4" s="12" t="s">
        <v>9</v>
      </c>
      <c r="M4" s="38">
        <v>1100</v>
      </c>
      <c r="O4" s="12" t="s">
        <v>8</v>
      </c>
      <c r="P4" s="38">
        <v>1270</v>
      </c>
    </row>
    <row r="5" spans="1:16" ht="21" x14ac:dyDescent="0.25">
      <c r="A5" s="15"/>
      <c r="B5" s="17"/>
      <c r="C5" s="10" t="s">
        <v>19</v>
      </c>
      <c r="D5" s="41">
        <v>1370</v>
      </c>
      <c r="F5" s="10" t="s">
        <v>14</v>
      </c>
      <c r="G5" s="10">
        <v>23700</v>
      </c>
      <c r="I5" s="8" t="s">
        <v>12</v>
      </c>
      <c r="J5" s="41">
        <v>3710</v>
      </c>
      <c r="L5" s="12" t="s">
        <v>13</v>
      </c>
      <c r="M5" s="38">
        <v>790</v>
      </c>
      <c r="O5" s="12" t="s">
        <v>21</v>
      </c>
      <c r="P5" s="38">
        <v>1380</v>
      </c>
    </row>
    <row r="6" spans="1:16" ht="21" x14ac:dyDescent="0.25">
      <c r="A6" s="15"/>
      <c r="B6" s="17"/>
      <c r="C6" s="10" t="s">
        <v>15</v>
      </c>
      <c r="D6" s="41">
        <v>790</v>
      </c>
      <c r="F6" s="10" t="s">
        <v>10</v>
      </c>
      <c r="G6" s="10">
        <v>33000</v>
      </c>
      <c r="I6" s="8" t="s">
        <v>16</v>
      </c>
      <c r="J6" s="41">
        <v>2830</v>
      </c>
      <c r="L6" s="12" t="s">
        <v>17</v>
      </c>
      <c r="M6" s="38">
        <v>1370</v>
      </c>
      <c r="O6" s="12" t="s">
        <v>22</v>
      </c>
      <c r="P6" s="38">
        <v>1520</v>
      </c>
    </row>
    <row r="7" spans="1:16" ht="21" x14ac:dyDescent="0.25">
      <c r="A7" s="15"/>
      <c r="B7" s="18"/>
      <c r="C7" s="10" t="s">
        <v>30</v>
      </c>
      <c r="D7" s="42">
        <v>3260</v>
      </c>
      <c r="F7" s="10" t="s">
        <v>30</v>
      </c>
      <c r="G7" s="9">
        <v>97800</v>
      </c>
      <c r="I7" s="10" t="s">
        <v>30</v>
      </c>
      <c r="J7" s="42">
        <v>10940</v>
      </c>
      <c r="L7" s="12" t="s">
        <v>30</v>
      </c>
      <c r="M7" s="39">
        <v>3260</v>
      </c>
      <c r="O7" s="12" t="s">
        <v>23</v>
      </c>
      <c r="P7" s="38">
        <v>1470</v>
      </c>
    </row>
    <row r="8" spans="1:16" ht="21" x14ac:dyDescent="0.2">
      <c r="O8" s="12" t="s">
        <v>24</v>
      </c>
      <c r="P8" s="38">
        <v>1640</v>
      </c>
    </row>
    <row r="9" spans="1:16" ht="21" x14ac:dyDescent="0.2">
      <c r="O9" s="12" t="s">
        <v>25</v>
      </c>
      <c r="P9" s="38">
        <v>1760</v>
      </c>
    </row>
    <row r="10" spans="1:16" ht="21" x14ac:dyDescent="0.25">
      <c r="C10" s="34" t="s">
        <v>1</v>
      </c>
      <c r="D10" s="34" t="s">
        <v>42</v>
      </c>
      <c r="O10" s="12" t="s">
        <v>26</v>
      </c>
      <c r="P10" s="38">
        <v>1900</v>
      </c>
    </row>
    <row r="11" spans="1:16" ht="21" x14ac:dyDescent="0.25">
      <c r="C11" s="35" t="s">
        <v>9</v>
      </c>
      <c r="D11" s="36">
        <v>33000</v>
      </c>
      <c r="O11" s="12" t="s">
        <v>30</v>
      </c>
      <c r="P11" s="39">
        <v>10940</v>
      </c>
    </row>
    <row r="12" spans="1:16" ht="21" x14ac:dyDescent="0.25">
      <c r="C12" s="35" t="s">
        <v>13</v>
      </c>
      <c r="D12" s="36">
        <v>23700</v>
      </c>
    </row>
    <row r="13" spans="1:16" ht="21" x14ac:dyDescent="0.25">
      <c r="C13" s="35" t="s">
        <v>17</v>
      </c>
      <c r="D13" s="36">
        <v>41100</v>
      </c>
    </row>
    <row r="14" spans="1:16" ht="21" x14ac:dyDescent="0.25">
      <c r="C14" s="35" t="s">
        <v>30</v>
      </c>
      <c r="D14" s="37">
        <v>97800</v>
      </c>
    </row>
  </sheetData>
  <mergeCells count="2">
    <mergeCell ref="A3:A7"/>
    <mergeCell ref="B3:B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24C54-6753-C74F-8B80-0FF5D99B6611}">
  <dimension ref="A2:M15"/>
  <sheetViews>
    <sheetView rightToLeft="1" workbookViewId="0">
      <selection activeCell="D2" sqref="D2:E7"/>
    </sheetView>
  </sheetViews>
  <sheetFormatPr baseColWidth="10" defaultRowHeight="15" x14ac:dyDescent="0.2"/>
  <cols>
    <col min="5" max="5" width="23" customWidth="1"/>
  </cols>
  <sheetData>
    <row r="2" spans="1:13" ht="37" x14ac:dyDescent="0.45">
      <c r="A2" s="14" t="s">
        <v>46</v>
      </c>
      <c r="B2" s="14"/>
      <c r="C2" s="23" t="s">
        <v>47</v>
      </c>
      <c r="D2" s="24" t="s">
        <v>38</v>
      </c>
      <c r="E2" s="13"/>
      <c r="G2" s="13" t="s">
        <v>42</v>
      </c>
      <c r="H2" s="13"/>
      <c r="I2" s="13"/>
      <c r="K2" s="13" t="s">
        <v>43</v>
      </c>
      <c r="L2" s="13"/>
      <c r="M2" s="13"/>
    </row>
    <row r="3" spans="1:13" x14ac:dyDescent="0.2">
      <c r="A3" s="14"/>
      <c r="B3" s="14"/>
      <c r="C3" s="23"/>
      <c r="D3" s="21">
        <f>SUM('معرض الكتاب'!E1:E22)</f>
        <v>3260</v>
      </c>
      <c r="E3" s="22"/>
      <c r="G3" s="22">
        <f>SUM('معرض الكتاب'!F1:F22)</f>
        <v>97800</v>
      </c>
      <c r="H3" s="22"/>
      <c r="I3" s="22"/>
      <c r="K3" s="25">
        <f>AVERAGE('معرض الكتاب'!G1:G22)</f>
        <v>520.95238095238096</v>
      </c>
      <c r="L3" s="25"/>
      <c r="M3" s="25"/>
    </row>
    <row r="4" spans="1:13" x14ac:dyDescent="0.2">
      <c r="A4" s="14"/>
      <c r="B4" s="14"/>
      <c r="C4" s="23"/>
      <c r="D4" s="21"/>
      <c r="E4" s="22"/>
      <c r="G4" s="22"/>
      <c r="H4" s="22"/>
      <c r="I4" s="22"/>
      <c r="K4" s="25"/>
      <c r="L4" s="25"/>
      <c r="M4" s="25"/>
    </row>
    <row r="5" spans="1:13" x14ac:dyDescent="0.2">
      <c r="A5" s="14"/>
      <c r="B5" s="14"/>
      <c r="C5" s="23"/>
      <c r="D5" s="21"/>
      <c r="E5" s="22"/>
      <c r="G5" s="22"/>
      <c r="H5" s="22"/>
      <c r="I5" s="22"/>
      <c r="K5" s="25"/>
      <c r="L5" s="25"/>
      <c r="M5" s="25"/>
    </row>
    <row r="6" spans="1:13" x14ac:dyDescent="0.2">
      <c r="A6" s="14"/>
      <c r="B6" s="14"/>
      <c r="C6" s="23"/>
      <c r="D6" s="21"/>
      <c r="E6" s="22"/>
      <c r="G6" s="22"/>
      <c r="H6" s="22"/>
      <c r="I6" s="22"/>
      <c r="K6" s="25"/>
      <c r="L6" s="25"/>
      <c r="M6" s="25"/>
    </row>
    <row r="7" spans="1:13" x14ac:dyDescent="0.2">
      <c r="A7" s="14"/>
      <c r="B7" s="14"/>
      <c r="C7" s="23"/>
      <c r="D7" s="21"/>
      <c r="E7" s="22"/>
      <c r="G7" s="22"/>
      <c r="H7" s="22"/>
      <c r="I7" s="22"/>
      <c r="K7" s="25"/>
      <c r="L7" s="25"/>
      <c r="M7" s="25"/>
    </row>
    <row r="8" spans="1:13" x14ac:dyDescent="0.2">
      <c r="A8" s="14"/>
      <c r="B8" s="14"/>
      <c r="C8" s="23"/>
    </row>
    <row r="9" spans="1:13" x14ac:dyDescent="0.2">
      <c r="A9" s="14"/>
      <c r="B9" s="14"/>
      <c r="C9" s="23"/>
    </row>
    <row r="10" spans="1:13" x14ac:dyDescent="0.2">
      <c r="A10" s="14"/>
      <c r="B10" s="14"/>
      <c r="C10" s="23"/>
      <c r="D10" s="19" t="s">
        <v>44</v>
      </c>
      <c r="E10" s="20"/>
      <c r="G10" s="20" t="s">
        <v>45</v>
      </c>
      <c r="H10" s="20"/>
      <c r="I10" s="20"/>
    </row>
    <row r="11" spans="1:13" x14ac:dyDescent="0.2">
      <c r="A11" s="14"/>
      <c r="B11" s="14"/>
      <c r="C11" s="23"/>
      <c r="D11" s="19"/>
      <c r="E11" s="20"/>
      <c r="G11" s="20"/>
      <c r="H11" s="20"/>
      <c r="I11" s="20"/>
    </row>
    <row r="12" spans="1:13" x14ac:dyDescent="0.2">
      <c r="A12" s="14"/>
      <c r="B12" s="14"/>
      <c r="C12" s="23"/>
      <c r="D12" s="21" t="str">
        <f>_xlfn.XLOOKUP(MAX('معرض الكتاب'!F1:F22),'معرض الكتاب'!F1:F22,'معرض الكتاب'!C1:C22,0,0,1)</f>
        <v>الإبداع</v>
      </c>
      <c r="E12" s="22"/>
      <c r="G12" s="22" t="str">
        <f>_xlfn.XLOOKUP(MAX('معرض الكتاب'!E1:E22),'معرض الكتاب'!E1:E22,'معرض الكتاب'!D1:D22,0,0,1)</f>
        <v>أطفال</v>
      </c>
      <c r="H12" s="22"/>
      <c r="I12" s="22"/>
    </row>
    <row r="13" spans="1:13" x14ac:dyDescent="0.2">
      <c r="A13" s="14"/>
      <c r="B13" s="14"/>
      <c r="C13" s="23"/>
      <c r="D13" s="21"/>
      <c r="E13" s="22"/>
      <c r="G13" s="22"/>
      <c r="H13" s="22"/>
      <c r="I13" s="22"/>
    </row>
    <row r="14" spans="1:13" x14ac:dyDescent="0.2">
      <c r="A14" s="14"/>
      <c r="B14" s="14"/>
      <c r="C14" s="23"/>
      <c r="D14" s="21"/>
      <c r="E14" s="22"/>
      <c r="G14" s="22"/>
      <c r="H14" s="22"/>
      <c r="I14" s="22"/>
    </row>
    <row r="15" spans="1:13" x14ac:dyDescent="0.2">
      <c r="A15" s="14"/>
      <c r="B15" s="14"/>
      <c r="C15" s="23"/>
      <c r="D15" s="21"/>
      <c r="E15" s="22"/>
      <c r="G15" s="22"/>
      <c r="H15" s="22"/>
      <c r="I15" s="22"/>
    </row>
  </sheetData>
  <mergeCells count="12">
    <mergeCell ref="K2:M2"/>
    <mergeCell ref="K3:M7"/>
    <mergeCell ref="D10:E11"/>
    <mergeCell ref="G10:I11"/>
    <mergeCell ref="D12:E15"/>
    <mergeCell ref="G12:I15"/>
    <mergeCell ref="A2:B15"/>
    <mergeCell ref="C2:C15"/>
    <mergeCell ref="D2:E2"/>
    <mergeCell ref="D3:E7"/>
    <mergeCell ref="G2:I2"/>
    <mergeCell ref="G3: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D398-6DA3-F34C-8C9E-21C9586E2C5D}">
  <dimension ref="G2:U7"/>
  <sheetViews>
    <sheetView showGridLines="0" rightToLeft="1" tabSelected="1" topLeftCell="B1" zoomScale="75" zoomScaleNormal="100" workbookViewId="0">
      <selection activeCell="AO6" sqref="AO6"/>
    </sheetView>
  </sheetViews>
  <sheetFormatPr baseColWidth="10" defaultRowHeight="15" x14ac:dyDescent="0.2"/>
  <cols>
    <col min="1" max="8" width="10.83203125" style="43"/>
    <col min="9" max="9" width="18.5" style="43" customWidth="1"/>
    <col min="10" max="10" width="18.6640625" style="43" customWidth="1"/>
    <col min="11" max="11" width="14.6640625" style="43" customWidth="1"/>
    <col min="12" max="12" width="20.1640625" style="43" customWidth="1"/>
    <col min="13" max="13" width="7.1640625" style="43" customWidth="1"/>
    <col min="14" max="14" width="7.33203125" style="43" customWidth="1"/>
    <col min="15" max="15" width="10.6640625" style="43" customWidth="1"/>
    <col min="16" max="16" width="19.83203125" style="43" customWidth="1"/>
    <col min="17" max="16384" width="10.83203125" style="43"/>
  </cols>
  <sheetData>
    <row r="2" spans="7:21" ht="37" x14ac:dyDescent="0.45">
      <c r="G2" s="47" t="s">
        <v>34</v>
      </c>
      <c r="H2" s="47"/>
      <c r="I2" s="47"/>
      <c r="K2" s="47" t="s">
        <v>38</v>
      </c>
      <c r="L2" s="47"/>
      <c r="O2" s="48" t="s">
        <v>37</v>
      </c>
      <c r="P2" s="48"/>
      <c r="S2" s="49" t="s">
        <v>41</v>
      </c>
      <c r="T2" s="49"/>
      <c r="U2" s="49"/>
    </row>
    <row r="3" spans="7:21" ht="15" customHeight="1" x14ac:dyDescent="0.2">
      <c r="G3" s="44">
        <f>SUM('معرض الكتاب'!F1:F22)</f>
        <v>97800</v>
      </c>
      <c r="H3" s="44"/>
      <c r="I3" s="44"/>
      <c r="K3" s="44">
        <f>SUM('معرض الكتاب'!E1:E22)</f>
        <v>3260</v>
      </c>
      <c r="L3" s="44"/>
      <c r="O3" s="45">
        <f>SUM('معرض الكتاب'!G1:G22)</f>
        <v>10940</v>
      </c>
      <c r="P3" s="45"/>
      <c r="S3" s="46">
        <f>COUNTA('معرض الكتاب'!E26:E28)</f>
        <v>3</v>
      </c>
      <c r="T3" s="46"/>
      <c r="U3" s="46"/>
    </row>
    <row r="4" spans="7:21" ht="15" customHeight="1" x14ac:dyDescent="0.2">
      <c r="G4" s="44"/>
      <c r="H4" s="44"/>
      <c r="I4" s="44"/>
      <c r="K4" s="44"/>
      <c r="L4" s="44"/>
      <c r="O4" s="45"/>
      <c r="P4" s="45"/>
      <c r="S4" s="46"/>
      <c r="T4" s="46"/>
      <c r="U4" s="46"/>
    </row>
    <row r="5" spans="7:21" ht="15" customHeight="1" x14ac:dyDescent="0.2">
      <c r="G5" s="44"/>
      <c r="H5" s="44"/>
      <c r="I5" s="44"/>
      <c r="K5" s="44"/>
      <c r="L5" s="44"/>
      <c r="O5" s="45"/>
      <c r="P5" s="45"/>
      <c r="S5" s="46"/>
      <c r="T5" s="46"/>
      <c r="U5" s="46"/>
    </row>
    <row r="6" spans="7:21" ht="15" customHeight="1" x14ac:dyDescent="0.2">
      <c r="G6" s="44"/>
      <c r="H6" s="44"/>
      <c r="I6" s="44"/>
      <c r="K6" s="44"/>
      <c r="L6" s="44"/>
      <c r="O6" s="45"/>
      <c r="P6" s="45"/>
      <c r="S6" s="46"/>
      <c r="T6" s="46"/>
      <c r="U6" s="46"/>
    </row>
    <row r="7" spans="7:21" ht="15" customHeight="1" x14ac:dyDescent="0.2">
      <c r="G7" s="44"/>
      <c r="H7" s="44"/>
      <c r="I7" s="44"/>
      <c r="K7" s="44"/>
      <c r="L7" s="44"/>
      <c r="O7" s="45"/>
      <c r="P7" s="45"/>
      <c r="S7" s="46"/>
      <c r="T7" s="46"/>
      <c r="U7" s="46"/>
    </row>
  </sheetData>
  <mergeCells count="8">
    <mergeCell ref="S2:U2"/>
    <mergeCell ref="S3:U7"/>
    <mergeCell ref="G2:I2"/>
    <mergeCell ref="G3:I7"/>
    <mergeCell ref="K2:L2"/>
    <mergeCell ref="K3:L7"/>
    <mergeCell ref="O2:P2"/>
    <mergeCell ref="O3:P7"/>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rightToLeft="1" zoomScaleNormal="100" workbookViewId="0">
      <pane ySplit="1" topLeftCell="A14" activePane="bottomLeft" state="frozen"/>
      <selection pane="bottomLeft" sqref="A1:I22"/>
    </sheetView>
  </sheetViews>
  <sheetFormatPr baseColWidth="10" defaultColWidth="8.6640625" defaultRowHeight="15" x14ac:dyDescent="0.2"/>
  <cols>
    <col min="1" max="1" width="15.33203125" customWidth="1"/>
    <col min="2" max="2" width="30.1640625" customWidth="1"/>
    <col min="3" max="3" width="12" customWidth="1"/>
    <col min="4" max="4" width="10" customWidth="1"/>
    <col min="5" max="5" width="18" customWidth="1"/>
    <col min="6" max="6" width="16" customWidth="1"/>
    <col min="7" max="8" width="12" customWidth="1"/>
    <col min="9" max="9" width="16.6640625" customWidth="1"/>
  </cols>
  <sheetData>
    <row r="1" spans="1:9" ht="23" x14ac:dyDescent="0.2">
      <c r="A1" s="1" t="s">
        <v>0</v>
      </c>
      <c r="B1" s="1" t="s">
        <v>1</v>
      </c>
      <c r="C1" s="1" t="s">
        <v>2</v>
      </c>
      <c r="D1" s="1" t="s">
        <v>3</v>
      </c>
      <c r="E1" s="1" t="s">
        <v>4</v>
      </c>
      <c r="F1" s="1" t="s">
        <v>5</v>
      </c>
      <c r="G1" s="1" t="s">
        <v>6</v>
      </c>
      <c r="H1" s="1" t="s">
        <v>7</v>
      </c>
      <c r="I1" s="3" t="s">
        <v>27</v>
      </c>
    </row>
    <row r="2" spans="1:9" ht="23" x14ac:dyDescent="0.2">
      <c r="A2" s="2" t="s">
        <v>8</v>
      </c>
      <c r="B2" s="2" t="s">
        <v>9</v>
      </c>
      <c r="C2" s="2" t="s">
        <v>10</v>
      </c>
      <c r="D2" s="2" t="s">
        <v>11</v>
      </c>
      <c r="E2" s="2">
        <v>120</v>
      </c>
      <c r="F2" s="2">
        <v>3600</v>
      </c>
      <c r="G2" s="2">
        <v>450</v>
      </c>
      <c r="H2" s="2" t="s">
        <v>12</v>
      </c>
    </row>
    <row r="3" spans="1:9" ht="23" x14ac:dyDescent="0.2">
      <c r="A3" s="2" t="s">
        <v>8</v>
      </c>
      <c r="B3" s="2" t="s">
        <v>13</v>
      </c>
      <c r="C3" s="2" t="s">
        <v>14</v>
      </c>
      <c r="D3" s="2" t="s">
        <v>15</v>
      </c>
      <c r="E3" s="2">
        <v>80</v>
      </c>
      <c r="F3" s="2">
        <v>2400</v>
      </c>
      <c r="G3" s="2">
        <v>320</v>
      </c>
      <c r="H3" s="2" t="s">
        <v>16</v>
      </c>
    </row>
    <row r="4" spans="1:9" ht="23" x14ac:dyDescent="0.2">
      <c r="A4" s="2" t="s">
        <v>8</v>
      </c>
      <c r="B4" s="2" t="s">
        <v>17</v>
      </c>
      <c r="C4" s="2" t="s">
        <v>18</v>
      </c>
      <c r="D4" s="2" t="s">
        <v>19</v>
      </c>
      <c r="E4" s="2">
        <v>150</v>
      </c>
      <c r="F4" s="2">
        <v>4500</v>
      </c>
      <c r="G4" s="2">
        <v>500</v>
      </c>
      <c r="H4" s="2" t="s">
        <v>20</v>
      </c>
      <c r="I4" s="2" t="str">
        <f>IF(F4&gt;5000,"أداء مرتفع","أداء منخفض")</f>
        <v>أداء منخفض</v>
      </c>
    </row>
    <row r="5" spans="1:9" ht="23" x14ac:dyDescent="0.2">
      <c r="A5" s="2" t="s">
        <v>21</v>
      </c>
      <c r="B5" s="2" t="s">
        <v>9</v>
      </c>
      <c r="C5" s="2" t="s">
        <v>10</v>
      </c>
      <c r="D5" s="2" t="s">
        <v>11</v>
      </c>
      <c r="E5" s="2">
        <v>140</v>
      </c>
      <c r="F5" s="2">
        <v>4200</v>
      </c>
      <c r="G5" s="2">
        <v>480</v>
      </c>
      <c r="H5" s="2" t="s">
        <v>12</v>
      </c>
      <c r="I5" s="2" t="str">
        <f t="shared" ref="I5:I22" si="0">IF(F5&gt;5000,"أداء مرتفع","أداء منخفض")</f>
        <v>أداء منخفض</v>
      </c>
    </row>
    <row r="6" spans="1:9" ht="23" x14ac:dyDescent="0.2">
      <c r="A6" s="2" t="s">
        <v>21</v>
      </c>
      <c r="B6" s="2" t="s">
        <v>13</v>
      </c>
      <c r="C6" s="2" t="s">
        <v>14</v>
      </c>
      <c r="D6" s="2" t="s">
        <v>15</v>
      </c>
      <c r="E6" s="2">
        <v>90</v>
      </c>
      <c r="F6" s="2">
        <v>2700</v>
      </c>
      <c r="G6" s="2">
        <v>350</v>
      </c>
      <c r="H6" s="2" t="s">
        <v>16</v>
      </c>
      <c r="I6" s="2" t="str">
        <f t="shared" si="0"/>
        <v>أداء منخفض</v>
      </c>
    </row>
    <row r="7" spans="1:9" ht="23" x14ac:dyDescent="0.2">
      <c r="A7" s="2" t="s">
        <v>21</v>
      </c>
      <c r="B7" s="2" t="s">
        <v>17</v>
      </c>
      <c r="C7" s="2" t="s">
        <v>18</v>
      </c>
      <c r="D7" s="2" t="s">
        <v>19</v>
      </c>
      <c r="E7" s="2">
        <v>170</v>
      </c>
      <c r="F7" s="2">
        <v>5100</v>
      </c>
      <c r="G7" s="2">
        <v>550</v>
      </c>
      <c r="H7" s="2" t="s">
        <v>20</v>
      </c>
      <c r="I7" s="2" t="str">
        <f t="shared" si="0"/>
        <v>أداء مرتفع</v>
      </c>
    </row>
    <row r="8" spans="1:9" ht="23" x14ac:dyDescent="0.2">
      <c r="A8" s="2" t="s">
        <v>22</v>
      </c>
      <c r="B8" s="2" t="s">
        <v>9</v>
      </c>
      <c r="C8" s="2" t="s">
        <v>10</v>
      </c>
      <c r="D8" s="2" t="s">
        <v>11</v>
      </c>
      <c r="E8" s="2">
        <v>160</v>
      </c>
      <c r="F8" s="2">
        <v>4800</v>
      </c>
      <c r="G8" s="2">
        <v>520</v>
      </c>
      <c r="H8" s="2" t="s">
        <v>12</v>
      </c>
      <c r="I8" s="2" t="str">
        <f t="shared" si="0"/>
        <v>أداء منخفض</v>
      </c>
    </row>
    <row r="9" spans="1:9" ht="23" x14ac:dyDescent="0.2">
      <c r="A9" s="2" t="s">
        <v>22</v>
      </c>
      <c r="B9" s="2" t="s">
        <v>13</v>
      </c>
      <c r="C9" s="2" t="s">
        <v>14</v>
      </c>
      <c r="D9" s="2" t="s">
        <v>15</v>
      </c>
      <c r="E9" s="2">
        <v>110</v>
      </c>
      <c r="F9" s="2">
        <v>3300</v>
      </c>
      <c r="G9" s="2">
        <v>400</v>
      </c>
      <c r="H9" s="2" t="s">
        <v>16</v>
      </c>
      <c r="I9" s="2" t="str">
        <f t="shared" si="0"/>
        <v>أداء منخفض</v>
      </c>
    </row>
    <row r="10" spans="1:9" ht="23" x14ac:dyDescent="0.2">
      <c r="A10" s="2" t="s">
        <v>22</v>
      </c>
      <c r="B10" s="2" t="s">
        <v>17</v>
      </c>
      <c r="C10" s="2" t="s">
        <v>18</v>
      </c>
      <c r="D10" s="2" t="s">
        <v>19</v>
      </c>
      <c r="E10" s="2">
        <v>180</v>
      </c>
      <c r="F10" s="2">
        <v>5400</v>
      </c>
      <c r="G10" s="2">
        <v>600</v>
      </c>
      <c r="H10" s="2" t="s">
        <v>20</v>
      </c>
      <c r="I10" s="2" t="str">
        <f t="shared" si="0"/>
        <v>أداء مرتفع</v>
      </c>
    </row>
    <row r="11" spans="1:9" ht="23" x14ac:dyDescent="0.2">
      <c r="A11" s="2" t="s">
        <v>23</v>
      </c>
      <c r="B11" s="2" t="s">
        <v>9</v>
      </c>
      <c r="C11" s="2" t="s">
        <v>10</v>
      </c>
      <c r="D11" s="2" t="s">
        <v>11</v>
      </c>
      <c r="E11" s="2">
        <v>130</v>
      </c>
      <c r="F11" s="2">
        <v>3900</v>
      </c>
      <c r="G11" s="2">
        <v>470</v>
      </c>
      <c r="H11" s="2" t="s">
        <v>12</v>
      </c>
      <c r="I11" s="2" t="str">
        <f t="shared" si="0"/>
        <v>أداء منخفض</v>
      </c>
    </row>
    <row r="12" spans="1:9" ht="23" x14ac:dyDescent="0.2">
      <c r="A12" s="2" t="s">
        <v>23</v>
      </c>
      <c r="B12" s="2" t="s">
        <v>13</v>
      </c>
      <c r="C12" s="2" t="s">
        <v>14</v>
      </c>
      <c r="D12" s="2" t="s">
        <v>15</v>
      </c>
      <c r="E12" s="2">
        <v>100</v>
      </c>
      <c r="F12" s="2">
        <v>3000</v>
      </c>
      <c r="G12" s="2">
        <v>380</v>
      </c>
      <c r="H12" s="2" t="s">
        <v>16</v>
      </c>
      <c r="I12" s="2" t="str">
        <f t="shared" si="0"/>
        <v>أداء منخفض</v>
      </c>
    </row>
    <row r="13" spans="1:9" ht="23" x14ac:dyDescent="0.2">
      <c r="A13" s="2" t="s">
        <v>23</v>
      </c>
      <c r="B13" s="2" t="s">
        <v>17</v>
      </c>
      <c r="C13" s="2" t="s">
        <v>18</v>
      </c>
      <c r="D13" s="2" t="s">
        <v>19</v>
      </c>
      <c r="E13" s="2">
        <v>190</v>
      </c>
      <c r="F13" s="2">
        <v>5700</v>
      </c>
      <c r="G13" s="2">
        <v>620</v>
      </c>
      <c r="H13" s="2" t="s">
        <v>20</v>
      </c>
      <c r="I13" s="2" t="str">
        <f t="shared" si="0"/>
        <v>أداء مرتفع</v>
      </c>
    </row>
    <row r="14" spans="1:9" ht="23" x14ac:dyDescent="0.2">
      <c r="A14" s="2" t="s">
        <v>24</v>
      </c>
      <c r="B14" s="2" t="s">
        <v>9</v>
      </c>
      <c r="C14" s="2" t="s">
        <v>10</v>
      </c>
      <c r="D14" s="2" t="s">
        <v>11</v>
      </c>
      <c r="E14" s="2">
        <v>170</v>
      </c>
      <c r="F14" s="2">
        <v>5100</v>
      </c>
      <c r="G14" s="2">
        <v>540</v>
      </c>
      <c r="H14" s="2" t="s">
        <v>12</v>
      </c>
      <c r="I14" s="2" t="str">
        <f t="shared" si="0"/>
        <v>أداء مرتفع</v>
      </c>
    </row>
    <row r="15" spans="1:9" ht="23" x14ac:dyDescent="0.2">
      <c r="A15" s="2" t="s">
        <v>24</v>
      </c>
      <c r="B15" s="2" t="s">
        <v>13</v>
      </c>
      <c r="C15" s="2" t="s">
        <v>14</v>
      </c>
      <c r="D15" s="2" t="s">
        <v>15</v>
      </c>
      <c r="E15" s="2">
        <v>120</v>
      </c>
      <c r="F15" s="2">
        <v>3600</v>
      </c>
      <c r="G15" s="2">
        <v>420</v>
      </c>
      <c r="H15" s="2" t="s">
        <v>16</v>
      </c>
      <c r="I15" s="2" t="str">
        <f t="shared" si="0"/>
        <v>أداء منخفض</v>
      </c>
    </row>
    <row r="16" spans="1:9" ht="23" x14ac:dyDescent="0.2">
      <c r="A16" s="2" t="s">
        <v>24</v>
      </c>
      <c r="B16" s="2" t="s">
        <v>17</v>
      </c>
      <c r="C16" s="2" t="s">
        <v>18</v>
      </c>
      <c r="D16" s="2" t="s">
        <v>19</v>
      </c>
      <c r="E16" s="2">
        <v>210</v>
      </c>
      <c r="F16" s="2">
        <v>6300</v>
      </c>
      <c r="G16" s="2">
        <v>680</v>
      </c>
      <c r="H16" s="2" t="s">
        <v>20</v>
      </c>
      <c r="I16" s="2" t="str">
        <f t="shared" si="0"/>
        <v>أداء مرتفع</v>
      </c>
    </row>
    <row r="17" spans="1:9" ht="23" x14ac:dyDescent="0.2">
      <c r="A17" s="2" t="s">
        <v>25</v>
      </c>
      <c r="B17" s="2" t="s">
        <v>9</v>
      </c>
      <c r="C17" s="2" t="s">
        <v>10</v>
      </c>
      <c r="D17" s="2" t="s">
        <v>11</v>
      </c>
      <c r="E17" s="2">
        <v>180</v>
      </c>
      <c r="F17" s="2">
        <v>5400</v>
      </c>
      <c r="G17" s="2">
        <v>600</v>
      </c>
      <c r="H17" s="2" t="s">
        <v>12</v>
      </c>
      <c r="I17" s="2" t="str">
        <f t="shared" si="0"/>
        <v>أداء مرتفع</v>
      </c>
    </row>
    <row r="18" spans="1:9" ht="23" x14ac:dyDescent="0.2">
      <c r="A18" s="2" t="s">
        <v>25</v>
      </c>
      <c r="B18" s="2" t="s">
        <v>13</v>
      </c>
      <c r="C18" s="2" t="s">
        <v>14</v>
      </c>
      <c r="D18" s="2" t="s">
        <v>15</v>
      </c>
      <c r="E18" s="2">
        <v>140</v>
      </c>
      <c r="F18" s="2">
        <v>4200</v>
      </c>
      <c r="G18" s="2">
        <v>460</v>
      </c>
      <c r="H18" s="2" t="s">
        <v>16</v>
      </c>
      <c r="I18" s="2" t="str">
        <f t="shared" si="0"/>
        <v>أداء منخفض</v>
      </c>
    </row>
    <row r="19" spans="1:9" ht="23" x14ac:dyDescent="0.2">
      <c r="A19" s="2" t="s">
        <v>25</v>
      </c>
      <c r="B19" s="2" t="s">
        <v>17</v>
      </c>
      <c r="C19" s="2" t="s">
        <v>18</v>
      </c>
      <c r="D19" s="2" t="s">
        <v>19</v>
      </c>
      <c r="E19" s="2">
        <v>220</v>
      </c>
      <c r="F19" s="2">
        <v>6600</v>
      </c>
      <c r="G19" s="2">
        <v>700</v>
      </c>
      <c r="H19" s="2" t="s">
        <v>20</v>
      </c>
      <c r="I19" s="2" t="str">
        <f t="shared" si="0"/>
        <v>أداء مرتفع</v>
      </c>
    </row>
    <row r="20" spans="1:9" ht="23" x14ac:dyDescent="0.2">
      <c r="A20" s="2" t="s">
        <v>26</v>
      </c>
      <c r="B20" s="2" t="s">
        <v>9</v>
      </c>
      <c r="C20" s="2" t="s">
        <v>10</v>
      </c>
      <c r="D20" s="2" t="s">
        <v>11</v>
      </c>
      <c r="E20" s="2">
        <v>200</v>
      </c>
      <c r="F20" s="2">
        <v>6000</v>
      </c>
      <c r="G20" s="2">
        <v>650</v>
      </c>
      <c r="H20" s="2" t="s">
        <v>12</v>
      </c>
      <c r="I20" s="2" t="str">
        <f t="shared" si="0"/>
        <v>أداء مرتفع</v>
      </c>
    </row>
    <row r="21" spans="1:9" ht="23" x14ac:dyDescent="0.2">
      <c r="A21" s="2" t="s">
        <v>26</v>
      </c>
      <c r="B21" s="2" t="s">
        <v>13</v>
      </c>
      <c r="C21" s="2" t="s">
        <v>14</v>
      </c>
      <c r="D21" s="2" t="s">
        <v>15</v>
      </c>
      <c r="E21" s="2">
        <v>150</v>
      </c>
      <c r="F21" s="2">
        <v>4500</v>
      </c>
      <c r="G21" s="2">
        <v>500</v>
      </c>
      <c r="H21" s="2" t="s">
        <v>16</v>
      </c>
      <c r="I21" s="2" t="str">
        <f t="shared" si="0"/>
        <v>أداء منخفض</v>
      </c>
    </row>
    <row r="22" spans="1:9" ht="23" x14ac:dyDescent="0.2">
      <c r="A22" s="2" t="s">
        <v>26</v>
      </c>
      <c r="B22" s="2" t="s">
        <v>17</v>
      </c>
      <c r="C22" s="2" t="s">
        <v>18</v>
      </c>
      <c r="D22" s="2" t="s">
        <v>19</v>
      </c>
      <c r="E22" s="2">
        <v>250</v>
      </c>
      <c r="F22" s="2">
        <v>7500</v>
      </c>
      <c r="G22" s="2">
        <v>750</v>
      </c>
      <c r="H22" s="2" t="s">
        <v>20</v>
      </c>
      <c r="I22" s="2" t="str">
        <f t="shared" si="0"/>
        <v>أداء مرتفع</v>
      </c>
    </row>
    <row r="24" spans="1:9" ht="21" x14ac:dyDescent="0.25">
      <c r="E24" s="33" t="s">
        <v>33</v>
      </c>
      <c r="F24" s="33"/>
    </row>
    <row r="25" spans="1:9" ht="21" x14ac:dyDescent="0.25">
      <c r="A25" s="29" t="s">
        <v>28</v>
      </c>
      <c r="B25" s="29"/>
      <c r="C25" s="30">
        <f>COUNTIFS(D1:D22,D22,E1:E22,"&gt;150")</f>
        <v>6</v>
      </c>
      <c r="E25" s="7" t="s">
        <v>2</v>
      </c>
      <c r="F25" s="7" t="s">
        <v>31</v>
      </c>
    </row>
    <row r="26" spans="1:9" ht="21" x14ac:dyDescent="0.25">
      <c r="A26" s="29"/>
      <c r="B26" s="29"/>
      <c r="C26" s="30"/>
      <c r="E26" s="6" t="s">
        <v>10</v>
      </c>
      <c r="F26" s="6">
        <f>SUMIF(C1:C22,C2,F1:F22)</f>
        <v>33000</v>
      </c>
    </row>
    <row r="27" spans="1:9" ht="21" x14ac:dyDescent="0.25">
      <c r="A27" s="31" t="s">
        <v>29</v>
      </c>
      <c r="B27" s="31"/>
      <c r="C27" s="32">
        <f>SUMIF(D1:D22,D17,F1:F22)</f>
        <v>33000</v>
      </c>
      <c r="E27" s="6" t="s">
        <v>14</v>
      </c>
      <c r="F27" s="6">
        <f>SUMIF(C2:C23,C3,F2:F23)</f>
        <v>23700</v>
      </c>
    </row>
    <row r="28" spans="1:9" ht="21" x14ac:dyDescent="0.25">
      <c r="A28" s="31"/>
      <c r="B28" s="31"/>
      <c r="C28" s="32"/>
      <c r="E28" s="6" t="s">
        <v>32</v>
      </c>
      <c r="F28" s="6">
        <f>SUMIF(C3:C24,C4,F3:F24)</f>
        <v>41100</v>
      </c>
    </row>
    <row r="29" spans="1:9" x14ac:dyDescent="0.2">
      <c r="A29" s="26" t="s">
        <v>36</v>
      </c>
      <c r="B29" s="26"/>
      <c r="C29" s="26"/>
    </row>
    <row r="30" spans="1:9" x14ac:dyDescent="0.2">
      <c r="A30" s="27"/>
      <c r="B30" s="27"/>
      <c r="C30" s="28"/>
    </row>
    <row r="31" spans="1:9" ht="26" x14ac:dyDescent="0.3">
      <c r="B31" s="5" t="s">
        <v>2</v>
      </c>
      <c r="C31" s="5" t="s">
        <v>7</v>
      </c>
    </row>
    <row r="32" spans="1:9" ht="21" x14ac:dyDescent="0.25">
      <c r="B32" s="4" t="s">
        <v>14</v>
      </c>
      <c r="C32" s="4" t="str">
        <f>_xlfn.XLOOKUP(B32,C1:C22,H1:H22,"",0,1)</f>
        <v>جدة</v>
      </c>
    </row>
  </sheetData>
  <mergeCells count="7">
    <mergeCell ref="E24:F24"/>
    <mergeCell ref="A29:B30"/>
    <mergeCell ref="C29:C30"/>
    <mergeCell ref="A25:B26"/>
    <mergeCell ref="C25:C26"/>
    <mergeCell ref="A27:B28"/>
    <mergeCell ref="C27:C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أوراق العمل</vt:lpstr>
      </vt:variant>
      <vt:variant>
        <vt:i4>4</vt:i4>
      </vt:variant>
    </vt:vector>
  </HeadingPairs>
  <TitlesOfParts>
    <vt:vector size="4" baseType="lpstr">
      <vt:lpstr>poivet</vt:lpstr>
      <vt:lpstr>KPI</vt:lpstr>
      <vt:lpstr>Dashbord</vt:lpstr>
      <vt:lpstr>معرض الكتاب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أسماء خالد بن عبدالله العكبري</cp:lastModifiedBy>
  <cp:revision>0</cp:revision>
  <dcterms:created xsi:type="dcterms:W3CDTF">2026-09-21T13:47:45Z</dcterms:created>
  <dcterms:modified xsi:type="dcterms:W3CDTF">2026-09-21T16:07:11Z</dcterms:modified>
  <dc:language>en-US</dc:language>
</cp:coreProperties>
</file>